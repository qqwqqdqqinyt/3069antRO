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核心常量" sheetId="2" state="visible" r:id="rId2"/>
    <sheet name="02_合成与充能" sheetId="3" state="visible" r:id="rId3"/>
    <sheet name="03_波次节奏模型" sheetId="4" state="visible" r:id="rId4"/>
    <sheet name="04_关卡与敌人" sheetId="5" state="visible" r:id="rId5"/>
    <sheet name="05_植物" sheetId="6" state="visible" r:id="rId6"/>
    <sheet name="06_卡牌" sheetId="7" state="visible" r:id="rId7"/>
    <sheet name="07_风险决策EV" sheetId="8" state="visible" r:id="rId8"/>
    <sheet name="08_养成与花园" sheetId="9" state="visible" r:id="rId9"/>
    <sheet name="09_验收清单" sheetId="10" state="visible" r:id="rId10"/>
    <sheet name="10_波次预算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#,##0.0"/>
    <numFmt numFmtId="167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i val="1"/>
      <color rgb="00C00000"/>
      <sz val="9"/>
    </font>
    <font>
      <b val="1"/>
      <color rgb="001F3864"/>
      <sz val="11"/>
    </font>
    <font>
      <b val="1"/>
      <sz val="10"/>
    </font>
    <font>
      <sz val="10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C0000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1" pivotButton="0" quotePrefix="0" xfId="0"/>
    <xf numFmtId="0" fontId="0" fillId="0" borderId="1" applyAlignment="1" pivotButton="0" quotePrefix="0" xfId="0">
      <alignment vertical="top" wrapText="1"/>
    </xf>
    <xf numFmtId="0" fontId="8" fillId="4" borderId="1" pivotButton="0" quotePrefix="0" xfId="0"/>
    <xf numFmtId="164" fontId="0" fillId="5" borderId="1" pivotButton="0" quotePrefix="0" xfId="0"/>
    <xf numFmtId="3" fontId="0" fillId="5" borderId="1" pivotButton="0" quotePrefix="0" xfId="0"/>
    <xf numFmtId="2" fontId="0" fillId="5" borderId="1" pivotButton="0" quotePrefix="0" xfId="0"/>
    <xf numFmtId="2" fontId="0" fillId="4" borderId="1" pivotButton="0" quotePrefix="0" xfId="0"/>
    <xf numFmtId="1" fontId="0" fillId="5" borderId="1" pivotButton="0" quotePrefix="0" xfId="0"/>
    <xf numFmtId="165" fontId="0" fillId="5" borderId="1" pivotButton="0" quotePrefix="0" xfId="0"/>
    <xf numFmtId="0" fontId="0" fillId="5" borderId="1" applyAlignment="1" pivotButton="0" quotePrefix="0" xfId="0">
      <alignment horizontal="center"/>
    </xf>
    <xf numFmtId="2" fontId="9" fillId="5" borderId="1" pivotButton="0" quotePrefix="0" xfId="0"/>
    <xf numFmtId="9" fontId="0" fillId="0" borderId="1" pivotButton="0" quotePrefix="0" xfId="0"/>
    <xf numFmtId="166" fontId="0" fillId="3" borderId="1" pivotButton="0" quotePrefix="0" xfId="0"/>
    <xf numFmtId="164" fontId="9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9" fontId="0" fillId="5" borderId="1" pivotButton="0" quotePrefix="0" xfId="0"/>
    <xf numFmtId="9" fontId="0" fillId="4" borderId="1" pivotButton="0" quotePrefix="0" xfId="0"/>
    <xf numFmtId="3" fontId="8" fillId="5" borderId="1" pivotButton="0" quotePrefix="0" xfId="0"/>
    <xf numFmtId="167" fontId="9" fillId="5" borderId="1" pivotButton="0" quotePrefix="0" xfId="0"/>
    <xf numFmtId="167" fontId="0" fillId="5" borderId="1" pivotButton="0" quotePrefix="0" xfId="0"/>
    <xf numFmtId="167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0" fontId="8" fillId="5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3" fontId="0" fillId="4" borderId="1" pivotButton="0" quotePrefix="0" xfId="0"/>
    <xf numFmtId="9" fontId="9" fillId="5" borderId="1" pivotButton="0" quotePrefix="0" xfId="0"/>
    <xf numFmtId="9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星序：元素防线 — 调参总表 v0.2（蒙特卡洛校准版）</t>
        </is>
      </c>
    </row>
    <row r="3">
      <c r="A3" s="2" t="inlineStr">
        <is>
          <t>本表所有经济公式已按 v0.2 的归一化方案重建。v0.1 的 xlsx 不可直接用于开发 —— 它的 CV 未归一化，跨档位膨胀 17 倍。</t>
        </is>
      </c>
    </row>
    <row r="5">
      <c r="A5" s="3" t="inlineStr">
        <is>
          <t>使用方式</t>
        </is>
      </c>
    </row>
    <row r="6">
      <c r="A6" s="4" t="inlineStr">
        <is>
          <t>黄色单元格</t>
        </is>
      </c>
      <c r="B6" s="5" t="inlineStr">
        <is>
          <t>可调输入参数。改动后全表公式自动重算。</t>
        </is>
      </c>
    </row>
    <row r="7">
      <c r="A7" s="4" t="inlineStr">
        <is>
          <t>绿色单元格</t>
        </is>
      </c>
      <c r="B7" s="5" t="inlineStr">
        <is>
          <t>公式计算结果。请勿手动覆盖，否则断链。</t>
        </is>
      </c>
    </row>
    <row r="8">
      <c r="A8" s="4" t="inlineStr">
        <is>
          <t>蓝色单元格</t>
        </is>
      </c>
      <c r="B8" s="5" t="inlineStr">
        <is>
          <t>蒙特卡洛实测值（300–400 局 x 5 档 x 3–4 种玩家策略）。有模拟脚本可复现，改动前请先看脚本注释。</t>
        </is>
      </c>
    </row>
    <row r="9">
      <c r="A9" s="4" t="inlineStr">
        <is>
          <t>灰色小字</t>
        </is>
      </c>
      <c r="B9" s="5" t="inlineStr">
        <is>
          <t>设计理由 / 调参方向说明。</t>
        </is>
      </c>
    </row>
    <row r="10">
      <c r="A10" s="4" t="inlineStr">
        <is>
          <t>无底色</t>
        </is>
      </c>
      <c r="B10" s="5" t="inlineStr">
        <is>
          <t>静态参考数据（文案表、卡池清单等）。</t>
        </is>
      </c>
    </row>
    <row r="12">
      <c r="A12" s="3" t="inlineStr">
        <is>
          <t>工作表导航</t>
        </is>
      </c>
    </row>
    <row r="13">
      <c r="A13" s="4" t="inlineStr">
        <is>
          <t>01_核心常量</t>
        </is>
      </c>
      <c r="B13" s="5" t="inlineStr">
        <is>
          <t>全局旋钮。所有其他表的输入源头，优先在这里调。</t>
        </is>
      </c>
    </row>
    <row r="14">
      <c r="A14" s="4" t="inlineStr">
        <is>
          <t>02_合成与充能</t>
        </is>
      </c>
      <c r="B14" s="5" t="inlineStr">
        <is>
          <t>★ 已归一化。方块值 -&gt; 充能' / CV' / 各货币 / 附魔伤害，带档位选择器。</t>
        </is>
      </c>
    </row>
    <row r="15">
      <c r="A15" s="4" t="inlineStr">
        <is>
          <t>03_波次节奏模型</t>
        </is>
      </c>
      <c r="B15" s="5" t="inlineStr">
        <is>
          <t>★ 已归一化。每波步数、合成次数、CV'/波、小附魔/波 —— 跨档位应基本恒定。</t>
        </is>
      </c>
    </row>
    <row r="16">
      <c r="A16" s="4" t="inlineStr">
        <is>
          <t>04_关卡与敌人</t>
        </is>
      </c>
      <c r="B16" s="5" t="inlineStr">
        <is>
          <t>★ 换用新的技术模型（大数字达成率驱动）。1–15 关缩放与真实死亡关卡判定。</t>
        </is>
      </c>
    </row>
    <row r="17">
      <c r="A17" s="4" t="inlineStr">
        <is>
          <t>05_植物</t>
        </is>
      </c>
      <c r="B17" s="5" t="inlineStr">
        <is>
          <t>★ DPS 已下调至辅助定位。含元素效果表（火的 AoE 已封顶）。</t>
        </is>
      </c>
    </row>
    <row r="18">
      <c r="A18" s="4" t="inlineStr">
        <is>
          <t>06_卡牌</t>
        </is>
      </c>
      <c r="B18" s="5" t="inlineStr">
        <is>
          <t>★ 新增「战力点」列 —— 所有卡牌折算到同一把尺子，含超模/废卡处置建议。</t>
        </is>
      </c>
    </row>
    <row r="19">
      <c r="A19" s="4" t="inlineStr">
        <is>
          <t>07_风险决策EV</t>
        </is>
      </c>
      <c r="B19" s="5" t="inlineStr">
        <is>
          <t>继续 / 收工的期望值计算器与保底比例敏感性分析。</t>
        </is>
      </c>
    </row>
    <row r="20">
      <c r="A20" s="4" t="inlineStr">
        <is>
          <t>08_养成与花园</t>
        </is>
      </c>
      <c r="B20" s="5" t="inlineStr">
        <is>
          <t>星尘养成树成本模型与花园产出模型。</t>
        </is>
      </c>
    </row>
    <row r="21">
      <c r="A21" s="4" t="inlineStr">
        <is>
          <t>09_验收清单</t>
        </is>
      </c>
      <c r="B21" s="5" t="inlineStr">
        <is>
          <t>平衡目标与「broken」判定标准 —— playtest 前先读这张。</t>
        </is>
      </c>
    </row>
    <row r="22">
      <c r="A22" s="4" t="inlineStr">
        <is>
          <t>10_波次预算表</t>
        </is>
      </c>
      <c r="B22" s="5" t="inlineStr">
        <is>
          <t>★ 新增。关 1 五波的完整输出 / HP 配平，是敌人基准数值的来源。</t>
        </is>
      </c>
    </row>
    <row r="24">
      <c r="A24" s="3" t="inlineStr">
        <is>
          <t>v0.2 五项结构性修正（详见 GDD_星序防线_v0.2.md）</t>
        </is>
      </c>
    </row>
    <row r="25">
      <c r="A25" s="4" t="inlineStr">
        <is>
          <t>M1 归一化</t>
        </is>
      </c>
      <c r="B25" s="6" t="inlineStr">
        <is>
          <t>CV' = v / E[生成值]；充能' = k x log2(v/E) x 0.78(Jensen 修正)。原 CV 跨档膨胀 17 倍，归一化后波动 &lt;2%。</t>
        </is>
      </c>
    </row>
    <row r="26">
      <c r="A26" s="4" t="inlineStr">
        <is>
          <t>M2 弱分层 + 跨关保留</t>
        </is>
      </c>
      <c r="B26" s="6" t="inlineStr">
        <is>
          <t>分层增益 2.2x/档 -&gt; 1.4x/档（强分层会让关 5 后技术倍差压到 1.0x）。棋盘跨关不重置。</t>
        </is>
      </c>
    </row>
    <row r="27">
      <c r="A27" s="4" t="inlineStr">
        <is>
          <t>M3 输出占比翻转</t>
        </is>
      </c>
      <c r="B27" s="6" t="inlineStr">
        <is>
          <t>附魔 60% : 植物 40%（v0.1 实算是 21% : 79%，违反支柱 P2「合成即战斗」）。</t>
        </is>
      </c>
    </row>
    <row r="28">
      <c r="A28" s="4" t="inlineStr">
        <is>
          <t>M4 AoE 封顶 / 删连锁</t>
        </is>
      </c>
      <c r="B28" s="6" t="inlineStr">
        <is>
          <t>元素总伤害池封顶 EP x 2.5 均分；连锁倍率会奖励乱滑，已删除。</t>
        </is>
      </c>
    </row>
    <row r="29">
      <c r="A29" s="4" t="inlineStr">
        <is>
          <t>M5 术语去重</t>
        </is>
      </c>
      <c r="B29" s="6" t="inlineStr">
        <is>
          <t>核心(HP) -&gt; 星枢；核心(货币) -&gt; 晶核。</t>
        </is>
      </c>
    </row>
    <row r="31">
      <c r="A31" s="7" t="inlineStr">
        <is>
          <t>模拟脚本（纯 stdlib，python sim_xxx.py &lt;每档局数&gt;）：sim_board_v02.py / sim_board_v02b.py / sim_chain_v02c.py / sim_tier_v02d.py</t>
        </is>
      </c>
    </row>
    <row r="32">
      <c r="A32" s="7" t="inlineStr">
        <is>
          <t>配套文档：GDD_星序防线_v0.2.md（增量文档，未提及部分沿用 v0.1）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2" customWidth="1" min="4" max="4"/>
    <col width="16" customWidth="1" min="5" max="5"/>
    <col width="66" customWidth="1" min="6" max="6"/>
  </cols>
  <sheetData>
    <row r="1">
      <c r="A1" s="1" t="inlineStr">
        <is>
          <t>核心常量 —— 全局旋钮（黄底可调 / 蓝底为蒙特卡洛实测值，改这里会驱动全表）</t>
        </is>
      </c>
    </row>
    <row r="3" ht="30" customHeight="1">
      <c r="A3" s="8" t="inlineStr">
        <is>
          <t>分组</t>
        </is>
      </c>
      <c r="B3" s="8" t="inlineStr">
        <is>
          <t>参数名</t>
        </is>
      </c>
      <c r="C3" s="8" t="inlineStr">
        <is>
          <t>代号</t>
        </is>
      </c>
      <c r="D3" s="8" t="inlineStr">
        <is>
          <t>当前值</t>
        </is>
      </c>
      <c r="E3" s="8" t="inlineStr">
        <is>
          <t>建议范围</t>
        </is>
      </c>
      <c r="F3" s="8" t="inlineStr">
        <is>
          <t>调参说明</t>
        </is>
      </c>
    </row>
    <row r="4">
      <c r="A4" s="9" t="inlineStr">
        <is>
          <t>棋盘</t>
        </is>
      </c>
      <c r="B4" s="9" t="inlineStr">
        <is>
          <t>棋盘尺寸</t>
        </is>
      </c>
      <c r="C4" s="9" t="inlineStr">
        <is>
          <t>BOARD_N</t>
        </is>
      </c>
      <c r="D4" s="10" t="n">
        <v>5</v>
      </c>
      <c r="E4" s="9" t="inlineStr">
        <is>
          <t>5（不可改）</t>
        </is>
      </c>
      <c r="F4" s="11" t="inlineStr">
        <is>
          <t>★ 实测：4x4 在生成值分层后关 3+ 卡死率 88–92%，5x5 卡死率 &lt;1.5%。4x4 会直接毁掉游戏。</t>
        </is>
      </c>
    </row>
    <row r="5">
      <c r="A5" s="9" t="inlineStr">
        <is>
          <t>棋盘</t>
        </is>
      </c>
      <c r="B5" s="9" t="inlineStr">
        <is>
          <t>每次移动生成方块数</t>
        </is>
      </c>
      <c r="C5" s="9" t="inlineStr">
        <is>
          <t>SPAWN_N</t>
        </is>
      </c>
      <c r="D5" s="12" t="n">
        <v>1</v>
      </c>
      <c r="E5" s="9" t="inlineStr">
        <is>
          <t>1 – 2</t>
        </is>
      </c>
      <c r="F5" s="11" t="inlineStr">
        <is>
          <t>保持 1。卡牌「丰饶」可临时 +1（但该卡已判定破坏性超模，见 06 表）。</t>
        </is>
      </c>
    </row>
    <row r="6">
      <c r="A6" s="9" t="inlineStr">
        <is>
          <t>棋盘</t>
        </is>
      </c>
      <c r="B6" s="9" t="inlineStr">
        <is>
          <t>初始方块数</t>
        </is>
      </c>
      <c r="C6" s="9" t="inlineStr">
        <is>
          <t>INIT_N</t>
        </is>
      </c>
      <c r="D6" s="12" t="n">
        <v>2</v>
      </c>
      <c r="E6" s="9" t="inlineStr">
        <is>
          <t>2 – 4</t>
        </is>
      </c>
      <c r="F6" s="11" t="inlineStr">
        <is>
          <t>留出前期铺垫空间。</t>
        </is>
      </c>
    </row>
    <row r="7">
      <c r="A7" s="9" t="inlineStr">
        <is>
          <t>棋盘</t>
        </is>
      </c>
      <c r="B7" s="9" t="inlineStr">
        <is>
          <t>步数上限</t>
        </is>
      </c>
      <c r="C7" s="9" t="inlineStr">
        <is>
          <t>STEP_MAX</t>
        </is>
      </c>
      <c r="D7" s="12" t="n">
        <v>5</v>
      </c>
      <c r="E7" s="9" t="inlineStr">
        <is>
          <t>3 – 10</t>
        </is>
      </c>
      <c r="F7" s="11" t="inlineStr">
        <is>
          <t>攒满 5 步可打一套爆发连招，是「攒劲儿」的爽点来源。</t>
        </is>
      </c>
    </row>
    <row r="8">
      <c r="A8" s="9" t="inlineStr">
        <is>
          <t>棋盘</t>
        </is>
      </c>
      <c r="B8" s="9" t="inlineStr">
        <is>
          <t>步数回复间隔(秒)</t>
        </is>
      </c>
      <c r="C8" s="9" t="inlineStr">
        <is>
          <t>STEP_REGEN</t>
        </is>
      </c>
      <c r="D8" s="12" t="n">
        <v>1.5</v>
      </c>
      <c r="E8" s="9" t="inlineStr">
        <is>
          <t>1.0 – 2.5</t>
        </is>
      </c>
      <c r="F8" s="11" t="inlineStr">
        <is>
          <t>★ 手感主旋钮。直接决定每波步数预算。</t>
        </is>
      </c>
    </row>
    <row r="9">
      <c r="A9" s="9" t="inlineStr">
        <is>
          <t>棋盘</t>
        </is>
      </c>
      <c r="B9" s="9" t="inlineStr">
        <is>
          <t>波次开局赠送步数</t>
        </is>
      </c>
      <c r="C9" s="9" t="inlineStr">
        <is>
          <t>STEP_GIFT</t>
        </is>
      </c>
      <c r="D9" s="12" t="n">
        <v>2</v>
      </c>
      <c r="E9" s="9" t="inlineStr">
        <is>
          <t>0 – 4</t>
        </is>
      </c>
      <c r="F9" s="11" t="inlineStr">
        <is>
          <t>缓解波次切换空窗。</t>
        </is>
      </c>
    </row>
    <row r="10">
      <c r="A10" s="9" t="inlineStr">
        <is>
          <t>棋盘</t>
        </is>
      </c>
      <c r="B10" s="9" t="inlineStr">
        <is>
          <t>每步平均合成次数</t>
        </is>
      </c>
      <c r="C10" s="9" t="inlineStr">
        <is>
          <t>MERGE_RATE</t>
        </is>
      </c>
      <c r="D10" s="10" t="n">
        <v>0.9</v>
      </c>
      <c r="E10" s="9" t="inlineStr">
        <is>
          <t>0.85 – 0.95</t>
        </is>
      </c>
      <c r="F10" s="11" t="inlineStr">
        <is>
          <t>★★ 实测 0.89–0.94，跨策略差异 &lt;6%。v0.1 假设的 1.2 是错的。这是 2048 的结构性常数，不要把技术水平建在这个量上。</t>
        </is>
      </c>
    </row>
    <row r="11">
      <c r="A11" s="9" t="inlineStr">
        <is>
          <t>棋盘</t>
        </is>
      </c>
      <c r="B11" s="9" t="inlineStr">
        <is>
          <t>平均合成值 / E[生成]</t>
        </is>
      </c>
      <c r="C11" s="9" t="inlineStr">
        <is>
          <t>AVG_MERGE_COEF</t>
        </is>
      </c>
      <c r="D11" s="10" t="n">
        <v>5.47</v>
      </c>
      <c r="E11" s="9" t="inlineStr">
        <is>
          <t>5.0 – 6.0</t>
        </is>
      </c>
      <c r="F11" s="11" t="inlineStr">
        <is>
          <t>★★ 实测：平均合成值 ≈ 5.47 x E[生成值]，跨全部 5 档稳定。所以归一化 CV'/波 = 合成次数 x 5.47，恒定。</t>
        </is>
      </c>
    </row>
    <row r="12">
      <c r="A12" s="9" t="inlineStr">
        <is>
          <t>棋盘</t>
        </is>
      </c>
      <c r="B12" s="9" t="inlineStr">
        <is>
          <t>充能 Jensen 修正</t>
        </is>
      </c>
      <c r="C12" s="9" t="inlineStr">
        <is>
          <t>LOG_CORR</t>
        </is>
      </c>
      <c r="D12" s="10" t="n">
        <v>0.78</v>
      </c>
      <c r="E12" s="9" t="inlineStr">
        <is>
          <t>0.70 – 0.85</t>
        </is>
      </c>
      <c r="F12" s="11" t="inlineStr">
        <is>
          <t>★★ 实测修正项。E[log2(v/E)] &lt; log2(E[v]/E)，因为 log 是凹函数、合成值分布右偏。直接用 log2(均值) 会高估充能约 28%。</t>
        </is>
      </c>
    </row>
    <row r="13">
      <c r="A13" s="9" t="inlineStr">
        <is>
          <t>分层</t>
        </is>
      </c>
      <c r="B13" s="9" t="inlineStr">
        <is>
          <t>第1档生成期望 E</t>
        </is>
      </c>
      <c r="C13" s="9" t="inlineStr">
        <is>
          <t>E1</t>
        </is>
      </c>
      <c r="D13" s="12" t="n">
        <v>2.2</v>
      </c>
      <c r="E13" s="9" t="inlineStr">
        <is>
          <t>—</t>
        </is>
      </c>
      <c r="F13" s="11" t="inlineStr">
        <is>
          <t>关 1–2，生成池 2(90%)/4(10%)。该档技巧门槛：冲 256。</t>
        </is>
      </c>
    </row>
    <row r="14">
      <c r="A14" s="9" t="inlineStr">
        <is>
          <t>分层</t>
        </is>
      </c>
      <c r="B14" s="9" t="inlineStr">
        <is>
          <t>第2档生成期望 E</t>
        </is>
      </c>
      <c r="C14" s="9" t="inlineStr">
        <is>
          <t>E2</t>
        </is>
      </c>
      <c r="D14" s="12" t="n">
        <v>3</v>
      </c>
      <c r="E14" s="9" t="inlineStr">
        <is>
          <t>—</t>
        </is>
      </c>
      <c r="F14" s="11" t="inlineStr">
        <is>
          <t>关 3–4，生成池 2(70%)/4(20%)/8(10%)。</t>
        </is>
      </c>
    </row>
    <row r="15">
      <c r="A15" s="9" t="inlineStr">
        <is>
          <t>分层</t>
        </is>
      </c>
      <c r="B15" s="9" t="inlineStr">
        <is>
          <t>第3档生成期望 E</t>
        </is>
      </c>
      <c r="C15" s="9" t="inlineStr">
        <is>
          <t>E3</t>
        </is>
      </c>
      <c r="D15" s="12" t="n">
        <v>4.8</v>
      </c>
      <c r="E15" s="9" t="inlineStr">
        <is>
          <t>—</t>
        </is>
      </c>
      <c r="F15" s="11" t="inlineStr">
        <is>
          <t>关 5–6，生成池 4(80%)/8(20%)。该档技巧门槛：冲 512。</t>
        </is>
      </c>
    </row>
    <row r="16">
      <c r="A16" s="9" t="inlineStr">
        <is>
          <t>分层</t>
        </is>
      </c>
      <c r="B16" s="9" t="inlineStr">
        <is>
          <t>第4档生成期望 E</t>
        </is>
      </c>
      <c r="C16" s="9" t="inlineStr">
        <is>
          <t>E4</t>
        </is>
      </c>
      <c r="D16" s="12" t="n">
        <v>6</v>
      </c>
      <c r="E16" s="9" t="inlineStr">
        <is>
          <t>—</t>
        </is>
      </c>
      <c r="F16" s="11" t="inlineStr">
        <is>
          <t>关 7–9，生成池 4(70%)/8(20%)/16(10%)。</t>
        </is>
      </c>
    </row>
    <row r="17">
      <c r="A17" s="9" t="inlineStr">
        <is>
          <t>分层</t>
        </is>
      </c>
      <c r="B17" s="9" t="inlineStr">
        <is>
          <t>第5档生成期望 E</t>
        </is>
      </c>
      <c r="C17" s="9" t="inlineStr">
        <is>
          <t>E5</t>
        </is>
      </c>
      <c r="D17" s="12" t="n">
        <v>9.6</v>
      </c>
      <c r="E17" s="9" t="inlineStr">
        <is>
          <t>—</t>
        </is>
      </c>
      <c r="F17" s="11" t="inlineStr">
        <is>
          <t>关 10+，生成池 8(80%)/16(20%)。该档技巧门槛：冲 1024。</t>
        </is>
      </c>
    </row>
    <row r="18">
      <c r="A18" s="9" t="inlineStr">
        <is>
          <t>分层</t>
        </is>
      </c>
      <c r="B18" s="9" t="inlineStr">
        <is>
          <t>棋盘跨关保留</t>
        </is>
      </c>
      <c r="C18" s="9" t="inlineStr">
        <is>
          <t>BOARD_CARRY</t>
        </is>
      </c>
      <c r="D18" s="10" t="n">
        <v>1</v>
      </c>
      <c r="E18" s="9" t="inlineStr">
        <is>
          <t>0 / 1</t>
        </is>
      </c>
      <c r="F18" s="11" t="inlineStr">
        <is>
          <t>★★ 1 = 保留。实测：弱分层 + 跨关保留下，750 步时熟练玩家 P(2048) = 48%，平庸 1.3%；不分层方案该值为 0%，主题会消失。</t>
        </is>
      </c>
    </row>
    <row r="19">
      <c r="A19" s="9" t="inlineStr">
        <is>
          <t>充能</t>
        </is>
      </c>
      <c r="B19" s="9" t="inlineStr">
        <is>
          <t>充能条上限</t>
        </is>
      </c>
      <c r="C19" s="9" t="inlineStr">
        <is>
          <t>CHARGE_MAX</t>
        </is>
      </c>
      <c r="D19" s="12" t="n">
        <v>100</v>
      </c>
      <c r="E19" s="9" t="inlineStr">
        <is>
          <t>80 – 150</t>
        </is>
      </c>
      <c r="F19" s="11" t="inlineStr">
        <is>
          <t>★ 附魔频率主旋钮。</t>
        </is>
      </c>
    </row>
    <row r="20">
      <c r="A20" s="9" t="inlineStr">
        <is>
          <t>充能</t>
        </is>
      </c>
      <c r="B20" s="9" t="inlineStr">
        <is>
          <t>充能系数 k</t>
        </is>
      </c>
      <c r="C20" s="9" t="inlineStr">
        <is>
          <t>CHARGE_K</t>
        </is>
      </c>
      <c r="D20" s="12" t="n">
        <v>2.9</v>
      </c>
      <c r="E20" s="9" t="inlineStr">
        <is>
          <t>2.0 – 4.0</t>
        </is>
      </c>
      <c r="F20" s="11" t="inlineStr">
        <is>
          <t>充能' = k x log2(v/E) x LOG_CORR。k=2.9 → 约 1.5 次小附魔/波。v0.1 的 3.5 次/波是刻意的降频：小附魔频率不随技术变化，必须给超载让出输出份额。</t>
        </is>
      </c>
    </row>
    <row r="21">
      <c r="A21" s="9" t="inlineStr">
        <is>
          <t>附魔</t>
        </is>
      </c>
      <c r="B21" s="9" t="inlineStr">
        <is>
          <t>基准附魔强度 EP</t>
        </is>
      </c>
      <c r="C21" s="9" t="inlineStr">
        <is>
          <t>EP_BASE</t>
        </is>
      </c>
      <c r="D21" s="12" t="n">
        <v>180</v>
      </c>
      <c r="E21" s="9" t="inlineStr">
        <is>
          <t>140 – 240</t>
        </is>
      </c>
      <c r="F21" s="11" t="inlineStr">
        <is>
          <t>★ v0.1 是 60。提高是因为附魔必须是主要伤害来源（支柱 P2）。</t>
        </is>
      </c>
    </row>
    <row r="22">
      <c r="A22" s="9" t="inlineStr">
        <is>
          <t>附魔</t>
        </is>
      </c>
      <c r="B22" s="9" t="inlineStr">
        <is>
          <t>元素总伤害池系数</t>
        </is>
      </c>
      <c r="C22" s="9" t="inlineStr">
        <is>
          <t>ELEM_CAP</t>
        </is>
      </c>
      <c r="D22" s="12" t="n">
        <v>2.5</v>
      </c>
      <c r="E22" s="9" t="inlineStr">
        <is>
          <t>2.0 – 3.5</t>
        </is>
      </c>
      <c r="F22" s="11" t="inlineStr">
        <is>
          <t>★★ 单目标等效倍率。元素总伤害 = EP x 威力系数 x 此值，全场均分。v0.1 的火是「每个敌人各受 EPx1.0」= N x EP，13 敌时是雷的 5.2 倍 —— 已修正。</t>
        </is>
      </c>
    </row>
    <row r="23">
      <c r="A23" s="9" t="inlineStr">
        <is>
          <t>附魔</t>
        </is>
      </c>
      <c r="B23" s="9" t="inlineStr">
        <is>
          <t>共鸣第2次加成</t>
        </is>
      </c>
      <c r="C23" s="9" t="inlineStr">
        <is>
          <t>RES2</t>
        </is>
      </c>
      <c r="D23" s="12" t="n">
        <v>1.4</v>
      </c>
      <c r="E23" s="9" t="inlineStr">
        <is>
          <t>1.2 – 1.6</t>
        </is>
      </c>
      <c r="F23" s="11" t="inlineStr">
        <is>
          <t>连续同元素第 2 次的威力倍率。</t>
        </is>
      </c>
    </row>
    <row r="24">
      <c r="A24" s="9" t="inlineStr">
        <is>
          <t>附魔</t>
        </is>
      </c>
      <c r="B24" s="9" t="inlineStr">
        <is>
          <t>共鸣第3次+加成</t>
        </is>
      </c>
      <c r="C24" s="9" t="inlineStr">
        <is>
          <t>RES3</t>
        </is>
      </c>
      <c r="D24" s="12" t="n">
        <v>1.8</v>
      </c>
      <c r="E24" s="9" t="inlineStr">
        <is>
          <t>1.5 – 2.2</t>
        </is>
      </c>
      <c r="F24" s="11" t="inlineStr">
        <is>
          <t>第 3 次及以后。过低则轮盘编排无意义。</t>
        </is>
      </c>
    </row>
    <row r="25">
      <c r="A25" s="9" t="inlineStr">
        <is>
          <t>经济</t>
        </is>
      </c>
      <c r="B25" s="9" t="inlineStr">
        <is>
          <t>星核系数</t>
        </is>
      </c>
      <c r="C25" s="9" t="inlineStr">
        <is>
          <t>K_STAR</t>
        </is>
      </c>
      <c r="D25" s="12" t="n">
        <v>0.15</v>
      </c>
      <c r="E25" s="9" t="inlineStr">
        <is>
          <t>0.08 – 0.22</t>
        </is>
      </c>
      <c r="F25" s="11" t="inlineStr">
        <is>
          <t>★ 星核 = CV' x 此值。v0.1 是 0.12，但那是配未归一化的 CV。目标：每波约 21 星核 ≈ 0.9 次战术指令。</t>
        </is>
      </c>
    </row>
    <row r="26">
      <c r="A26" s="9" t="inlineStr">
        <is>
          <t>经济</t>
        </is>
      </c>
      <c r="B26" s="9" t="inlineStr">
        <is>
          <t>金币系数</t>
        </is>
      </c>
      <c r="C26" s="9" t="inlineStr">
        <is>
          <t>K_GOLD</t>
        </is>
      </c>
      <c r="D26" s="12" t="n">
        <v>1</v>
      </c>
      <c r="E26" s="9" t="inlineStr">
        <is>
          <t>0.6 – 1.5</t>
        </is>
      </c>
      <c r="F26" s="11" t="inlineStr">
        <is>
          <t>金币 = CV' x 此值 x 关卡倍率。</t>
        </is>
      </c>
    </row>
    <row r="27">
      <c r="A27" s="9" t="inlineStr">
        <is>
          <t>经济</t>
        </is>
      </c>
      <c r="B27" s="9" t="inlineStr">
        <is>
          <t>碎片系数</t>
        </is>
      </c>
      <c r="C27" s="9" t="inlineStr">
        <is>
          <t>K_SHARD</t>
        </is>
      </c>
      <c r="D27" s="12" t="n">
        <v>0.04</v>
      </c>
      <c r="E27" s="9" t="inlineStr">
        <is>
          <t>0.02 – 0.08</t>
        </is>
      </c>
      <c r="F27" s="11" t="inlineStr">
        <is>
          <t>碎片 = CV' x 此值 x 关卡倍率。小数进池不丢。</t>
        </is>
      </c>
    </row>
    <row r="28">
      <c r="A28" s="9" t="inlineStr">
        <is>
          <t>经济</t>
        </is>
      </c>
      <c r="B28" s="9" t="inlineStr">
        <is>
          <t>升华结晶倍率</t>
        </is>
      </c>
      <c r="C28" s="9" t="inlineStr">
        <is>
          <t>SUB_MULT</t>
        </is>
      </c>
      <c r="D28" s="12" t="n">
        <v>3</v>
      </c>
      <c r="E28" s="9" t="inlineStr">
        <is>
          <t>2.0 – 5.0</t>
        </is>
      </c>
      <c r="F28" s="11" t="inlineStr">
        <is>
          <t>升华时 CV' = (v/E) x 此值。</t>
        </is>
      </c>
    </row>
    <row r="29">
      <c r="A29" s="9" t="inlineStr">
        <is>
          <t>经济</t>
        </is>
      </c>
      <c r="B29" s="9" t="inlineStr">
        <is>
          <t>自动升华阈值</t>
        </is>
      </c>
      <c r="C29" s="9" t="inlineStr">
        <is>
          <t>SUB_TH</t>
        </is>
      </c>
      <c r="D29" s="12" t="n">
        <v>512</v>
      </c>
      <c r="E29" s="9" t="inlineStr">
        <is>
          <t>256 / 512 / 1024</t>
        </is>
      </c>
      <c r="F29" s="11" t="inlineStr">
        <is>
          <t>≥ 此值的方块触发超载后自动升华。实测：random 策略 750 步后盘面占用 100%，升华是必需品而非优化项。</t>
        </is>
      </c>
    </row>
    <row r="30">
      <c r="A30" s="9" t="inlineStr">
        <is>
          <t>关卡</t>
        </is>
      </c>
      <c r="B30" s="9" t="inlineStr">
        <is>
          <t>波次时长(秒)</t>
        </is>
      </c>
      <c r="C30" s="9" t="inlineStr">
        <is>
          <t>WAVE_T</t>
        </is>
      </c>
      <c r="D30" s="12" t="n">
        <v>43</v>
      </c>
      <c r="E30" s="9" t="inlineStr">
        <is>
          <t>30 – 60</t>
        </is>
      </c>
      <c r="F30" s="11" t="inlineStr">
        <is>
          <t>标准波平均时长（关 1 实际为 30/35/45/45/60，见 10 表）。</t>
        </is>
      </c>
    </row>
    <row r="31">
      <c r="A31" s="9" t="inlineStr">
        <is>
          <t>关卡</t>
        </is>
      </c>
      <c r="B31" s="9" t="inlineStr">
        <is>
          <t>每关波数</t>
        </is>
      </c>
      <c r="C31" s="9" t="inlineStr">
        <is>
          <t>WAVE_N</t>
        </is>
      </c>
      <c r="D31" s="12" t="n">
        <v>5</v>
      </c>
      <c r="E31" s="9" t="inlineStr">
        <is>
          <t>4 – 6</t>
        </is>
      </c>
      <c r="F31" s="11" t="inlineStr">
        <is>
          <t>5 波一关，约 215 秒。若数据显示单局中位数 &gt;15 分钟，压到 4 波。</t>
        </is>
      </c>
    </row>
    <row r="32">
      <c r="A32" s="9" t="inlineStr">
        <is>
          <t>关卡</t>
        </is>
      </c>
      <c r="B32" s="9" t="inlineStr">
        <is>
          <t>敌人HP缩放底数</t>
        </is>
      </c>
      <c r="C32" s="9" t="inlineStr">
        <is>
          <t>HP_BASE</t>
        </is>
      </c>
      <c r="D32" s="12" t="n">
        <v>1.55</v>
      </c>
      <c r="E32" s="9" t="inlineStr">
        <is>
          <t>1.48 – 1.62</t>
        </is>
      </c>
      <c r="F32" s="11" t="inlineStr">
        <is>
          <t>★★ 难度主旋钮。v0.2 主输出移到附魔（卡牌驱动），需重新标定。当前配置输出：新手 4 关 / 中等 5 关 / 高手 6 关 / 满养成 9 关。</t>
        </is>
      </c>
    </row>
    <row r="33">
      <c r="A33" s="9" t="inlineStr">
        <is>
          <t>关卡</t>
        </is>
      </c>
      <c r="B33" s="9" t="inlineStr">
        <is>
          <t>敌人HP超线性项</t>
        </is>
      </c>
      <c r="C33" s="9" t="inlineStr">
        <is>
          <t>HP_SLIN</t>
        </is>
      </c>
      <c r="D33" s="12" t="n">
        <v>0.05</v>
      </c>
      <c r="E33" s="9" t="inlineStr">
        <is>
          <t>0 – 0.10</t>
        </is>
      </c>
      <c r="F33" s="11" t="inlineStr">
        <is>
          <t>HP(n) = 基础 x 底数^(n-1) x (1 + 此项 x (n-1))。</t>
        </is>
      </c>
    </row>
    <row r="34">
      <c r="A34" s="9" t="inlineStr">
        <is>
          <t>关卡</t>
        </is>
      </c>
      <c r="B34" s="9" t="inlineStr">
        <is>
          <t>每关敌人总数</t>
        </is>
      </c>
      <c r="C34" s="9" t="inlineStr">
        <is>
          <t>ENEMY_TOT</t>
        </is>
      </c>
      <c r="D34" s="12" t="n">
        <v>60</v>
      </c>
      <c r="E34" s="9" t="inlineStr">
        <is>
          <t>40 – 80</t>
        </is>
      </c>
      <c r="F34" s="11" t="inlineStr">
        <is>
          <t>5 波 x 约 12 只。用于漏怪模型估算。</t>
        </is>
      </c>
    </row>
    <row r="35">
      <c r="A35" s="9" t="inlineStr">
        <is>
          <t>关卡</t>
        </is>
      </c>
      <c r="B35" s="9" t="inlineStr">
        <is>
          <t>平均撞星枢伤害</t>
        </is>
      </c>
      <c r="C35" s="9" t="inlineStr">
        <is>
          <t>AVG_DMG</t>
        </is>
      </c>
      <c r="D35" s="12" t="n">
        <v>6</v>
      </c>
      <c r="E35" s="9" t="inlineStr">
        <is>
          <t>4 – 8</t>
        </is>
      </c>
      <c r="F35" s="11" t="inlineStr">
        <is>
          <t>各类敌人加权平均。用于漏怪模型估算。</t>
        </is>
      </c>
    </row>
    <row r="36">
      <c r="A36" s="9" t="inlineStr">
        <is>
          <t>关卡</t>
        </is>
      </c>
      <c r="B36" s="9" t="inlineStr">
        <is>
          <t>敌人速度缩放</t>
        </is>
      </c>
      <c r="C36" s="9" t="inlineStr">
        <is>
          <t>SPD_SCL</t>
        </is>
      </c>
      <c r="D36" s="12" t="n">
        <v>0.04</v>
      </c>
      <c r="E36" s="9" t="inlineStr">
        <is>
          <t>0.02 – 0.06</t>
        </is>
      </c>
      <c r="F36" s="11" t="inlineStr">
        <is>
          <t>速度增长必须慢，否则不可控。</t>
        </is>
      </c>
    </row>
    <row r="37">
      <c r="A37" s="9" t="inlineStr">
        <is>
          <t>关卡</t>
        </is>
      </c>
      <c r="B37" s="9" t="inlineStr">
        <is>
          <t>敌人伤害缩放底数</t>
        </is>
      </c>
      <c r="C37" s="9" t="inlineStr">
        <is>
          <t>DMG_BASE</t>
        </is>
      </c>
      <c r="D37" s="12" t="n">
        <v>1.25</v>
      </c>
      <c r="E37" s="9" t="inlineStr">
        <is>
          <t>1.15 – 1.35</t>
        </is>
      </c>
      <c r="F37" s="11" t="inlineStr">
        <is>
          <t>伤害缩放应慢于 HP，避免星枢被秒。</t>
        </is>
      </c>
    </row>
    <row r="38">
      <c r="A38" s="9" t="inlineStr">
        <is>
          <t>关卡</t>
        </is>
      </c>
      <c r="B38" s="9" t="inlineStr">
        <is>
          <t>关卡收益倍率增量</t>
        </is>
      </c>
      <c r="C38" s="9" t="inlineStr">
        <is>
          <t>RWD_INC</t>
        </is>
      </c>
      <c r="D38" s="12" t="n">
        <v>0.3</v>
      </c>
      <c r="E38" s="9" t="inlineStr">
        <is>
          <t>0.2 – 0.5</t>
        </is>
      </c>
      <c r="F38" s="11" t="inlineStr">
        <is>
          <t>关卡倍率 1.0, 1.3, 1.7, 2.2, 2.8 …（增量递增 0.1）</t>
        </is>
      </c>
    </row>
    <row r="39">
      <c r="A39" s="9" t="inlineStr">
        <is>
          <t>关卡</t>
        </is>
      </c>
      <c r="B39" s="9" t="inlineStr">
        <is>
          <t>星枢HP</t>
        </is>
      </c>
      <c r="C39" s="9" t="inlineStr">
        <is>
          <t>NODE_HP</t>
        </is>
      </c>
      <c r="D39" s="12" t="n">
        <v>100</v>
      </c>
      <c r="E39" s="9" t="inlineStr">
        <is>
          <t>80 – 200</t>
        </is>
      </c>
      <c r="F39" s="11" t="inlineStr">
        <is>
          <t>★ 术语变更：v0.1 的「核心 HP」改称「星枢 HP」，与货币「晶核」区分。</t>
        </is>
      </c>
    </row>
    <row r="40">
      <c r="A40" s="9" t="inlineStr">
        <is>
          <t>关卡</t>
        </is>
      </c>
      <c r="B40" s="9" t="inlineStr">
        <is>
          <t>关卡间星枢回复%</t>
        </is>
      </c>
      <c r="C40" s="9" t="inlineStr">
        <is>
          <t>NODE_REGEN</t>
        </is>
      </c>
      <c r="D40" s="12" t="n">
        <v>0.2</v>
      </c>
      <c r="E40" s="9" t="inlineStr">
        <is>
          <t>0 – 0.35</t>
        </is>
      </c>
      <c r="F40" s="11" t="inlineStr">
        <is>
          <t>鼓励推进。</t>
        </is>
      </c>
    </row>
    <row r="41">
      <c r="A41" s="9" t="inlineStr">
        <is>
          <t>成长</t>
        </is>
      </c>
      <c r="B41" s="9" t="inlineStr">
        <is>
          <t>每关获取卡牌数</t>
        </is>
      </c>
      <c r="C41" s="9" t="inlineStr">
        <is>
          <t>CARD_N</t>
        </is>
      </c>
      <c r="D41" s="12" t="n">
        <v>5</v>
      </c>
      <c r="E41" s="9" t="inlineStr">
        <is>
          <t>3 – 6</t>
        </is>
      </c>
      <c r="F41" s="11" t="inlineStr">
        <is>
          <t>每关 5 波，每波清完给 1 张；与波数 1:1。</t>
        </is>
      </c>
    </row>
    <row r="42">
      <c r="A42" s="9" t="inlineStr">
        <is>
          <t>成长</t>
        </is>
      </c>
      <c r="B42" s="9" t="inlineStr">
        <is>
          <t>单卡平均效果</t>
        </is>
      </c>
      <c r="C42" s="9" t="inlineStr">
        <is>
          <t>CARD_PWR</t>
        </is>
      </c>
      <c r="D42" s="12" t="n">
        <v>0.12</v>
      </c>
      <c r="E42" s="9" t="inlineStr">
        <is>
          <t>0.08 – 0.18</t>
        </is>
      </c>
      <c r="F42" s="11" t="inlineStr">
        <is>
          <t>★ 玩家战力成长主旋钮。</t>
        </is>
      </c>
    </row>
    <row r="43">
      <c r="A43" s="9" t="inlineStr">
        <is>
          <t>成长</t>
        </is>
      </c>
      <c r="B43" s="9" t="inlineStr">
        <is>
          <t>卡牌效率衰减</t>
        </is>
      </c>
      <c r="C43" s="9" t="inlineStr">
        <is>
          <t>CARD_DECAY</t>
        </is>
      </c>
      <c r="D43" s="12" t="n">
        <v>0.88</v>
      </c>
      <c r="E43" s="9" t="inlineStr">
        <is>
          <t>0.80 – 0.95</t>
        </is>
      </c>
      <c r="F43" s="11" t="inlineStr">
        <is>
          <t>每关卡牌边际收益递减，制造自然撞墙点。</t>
        </is>
      </c>
    </row>
    <row r="44">
      <c r="A44" s="9" t="inlineStr">
        <is>
          <t>成长</t>
        </is>
      </c>
      <c r="B44" s="9" t="inlineStr">
        <is>
          <t>植物基础DPS</t>
        </is>
      </c>
      <c r="C44" s="9" t="inlineStr">
        <is>
          <t>PLANT_DPS</t>
        </is>
      </c>
      <c r="D44" s="12" t="n">
        <v>7</v>
      </c>
      <c r="E44" s="9" t="inlineStr">
        <is>
          <t>5 – 9</t>
        </is>
      </c>
      <c r="F44" s="11" t="inlineStr">
        <is>
          <t>★ v0.1 是 10（焰心草 12）。下调是为了把主输出还给附魔。</t>
        </is>
      </c>
    </row>
    <row r="45">
      <c r="A45" s="9" t="inlineStr">
        <is>
          <t>成长</t>
        </is>
      </c>
      <c r="B45" s="9" t="inlineStr">
        <is>
          <t>植物有效命中率</t>
        </is>
      </c>
      <c r="C45" s="9" t="inlineStr">
        <is>
          <t>HIT_RATE</t>
        </is>
      </c>
      <c r="D45" s="12" t="n">
        <v>0.75</v>
      </c>
      <c r="E45" s="9" t="inlineStr">
        <is>
          <t>0.6 – 0.9</t>
        </is>
      </c>
      <c r="F45" s="11" t="inlineStr">
        <is>
          <t>★ 新增。植物 DPS 并非全额命中（射程/目标切换/溢出），用于 10 表波次预算。</t>
        </is>
      </c>
    </row>
    <row r="46">
      <c r="A46" s="9" t="inlineStr">
        <is>
          <t>成长</t>
        </is>
      </c>
      <c r="B46" s="9" t="inlineStr">
        <is>
          <t>初始编队位</t>
        </is>
      </c>
      <c r="C46" s="9" t="inlineStr">
        <is>
          <t>SLOT_BASE</t>
        </is>
      </c>
      <c r="D46" s="12" t="n">
        <v>3</v>
      </c>
      <c r="E46" s="9" t="inlineStr">
        <is>
          <t>2 – 4</t>
        </is>
      </c>
      <c r="F46" s="11" t="inlineStr">
        <is>
          <t>编队植物数量。</t>
        </is>
      </c>
    </row>
    <row r="47">
      <c r="A47" s="9" t="inlineStr">
        <is>
          <t>成长</t>
        </is>
      </c>
      <c r="B47" s="9" t="inlineStr">
        <is>
          <t>每星DPS加成</t>
        </is>
      </c>
      <c r="C47" s="9" t="inlineStr">
        <is>
          <t>STAR_MULT</t>
        </is>
      </c>
      <c r="D47" s="12" t="n">
        <v>0.2</v>
      </c>
      <c r="E47" s="9" t="inlineStr">
        <is>
          <t>0.15 – 0.30</t>
        </is>
      </c>
      <c r="F47" s="11" t="inlineStr">
        <is>
          <t>每升 1 星 DPS 提升。5★ = 1.8x。</t>
        </is>
      </c>
    </row>
    <row r="48">
      <c r="A48" s="9" t="inlineStr">
        <is>
          <t>成长</t>
        </is>
      </c>
      <c r="B48" s="9" t="inlineStr">
        <is>
          <t>每级DPS加成</t>
        </is>
      </c>
      <c r="C48" s="9" t="inlineStr">
        <is>
          <t>LV_MULT</t>
        </is>
      </c>
      <c r="D48" s="12" t="n">
        <v>0.02</v>
      </c>
      <c r="E48" s="9" t="inlineStr">
        <is>
          <t>0.015 – 0.03</t>
        </is>
      </c>
      <c r="F48" s="11" t="inlineStr">
        <is>
          <t>每级 DPS 提升。Lv50 = 1.98x。★ 压缩过大会碾压局内卡牌。</t>
        </is>
      </c>
    </row>
    <row r="49">
      <c r="A49" s="9" t="inlineStr">
        <is>
          <t>成长</t>
        </is>
      </c>
      <c r="B49" s="9" t="inlineStr">
        <is>
          <t>伙伴位效率</t>
        </is>
      </c>
      <c r="C49" s="9" t="inlineStr">
        <is>
          <t>SLOT_EFF</t>
        </is>
      </c>
      <c r="D49" s="12" t="n">
        <v>0.5</v>
      </c>
      <c r="E49" s="9" t="inlineStr">
        <is>
          <t>0.4 – 0.7</t>
        </is>
      </c>
      <c r="F49" s="11" t="inlineStr">
        <is>
          <t>第 4/5/6 编队位上的伙伴按此效率计入战力。</t>
        </is>
      </c>
    </row>
    <row r="50">
      <c r="A50" s="9" t="inlineStr">
        <is>
          <t>技术</t>
        </is>
      </c>
      <c r="B50" s="9" t="inlineStr">
        <is>
          <t>附魔占总输出比例</t>
        </is>
      </c>
      <c r="C50" s="9" t="inlineStr">
        <is>
          <t>ENCH_SHARE</t>
        </is>
      </c>
      <c r="D50" s="12" t="n">
        <v>0.6</v>
      </c>
      <c r="E50" s="9" t="inlineStr">
        <is>
          <t>0.5 – 0.7</t>
        </is>
      </c>
      <c r="F50" s="11" t="inlineStr">
        <is>
          <t>★★ v0.1 是 0.45，但按 v0.1 数值实算只有 0.21（植物抢了戏）。目标 0.60，见 10 表校验。</t>
        </is>
      </c>
    </row>
    <row r="51">
      <c r="A51" s="9" t="inlineStr">
        <is>
          <t>技术</t>
        </is>
      </c>
      <c r="B51" s="9" t="inlineStr">
        <is>
          <t>超载占附魔输出比例</t>
        </is>
      </c>
      <c r="C51" s="9" t="inlineStr">
        <is>
          <t>OVER_SHARE</t>
        </is>
      </c>
      <c r="D51" s="12" t="n">
        <v>0.6</v>
      </c>
      <c r="E51" s="9" t="inlineStr">
        <is>
          <t>0.5 – 0.75</t>
        </is>
      </c>
      <c r="F51" s="11" t="inlineStr">
        <is>
          <t>★★ 新增。小附魔频率不随技术变化（差 6%），所以技巧只能挂在超载上。这是技术回报的唯一来源。</t>
        </is>
      </c>
    </row>
    <row r="52">
      <c r="A52" s="9" t="inlineStr">
        <is>
          <t>技术</t>
        </is>
      </c>
      <c r="B52" s="9" t="inlineStr">
        <is>
          <t>新手超载次数比</t>
        </is>
      </c>
      <c r="C52" s="9" t="inlineStr">
        <is>
          <t>SK_NOVICE</t>
        </is>
      </c>
      <c r="D52" s="10" t="n">
        <v>0.33</v>
      </c>
      <c r="E52" s="9" t="inlineStr">
        <is>
          <t>0.2 – 0.5</t>
        </is>
      </c>
      <c r="F52" s="11" t="inlineStr">
        <is>
          <t>★★ 实测推导：random 策略相对高手的超载达成率。T3 档 P(512)：random 19.3% vs greedy 58.7%。</t>
        </is>
      </c>
    </row>
    <row r="53">
      <c r="A53" s="9" t="inlineStr">
        <is>
          <t>技术</t>
        </is>
      </c>
      <c r="B53" s="9" t="inlineStr">
        <is>
          <t>中等超载次数比</t>
        </is>
      </c>
      <c r="C53" s="9" t="inlineStr">
        <is>
          <t>SK_MID</t>
        </is>
      </c>
      <c r="D53" s="10" t="n">
        <v>0.6</v>
      </c>
      <c r="E53" s="9" t="inlineStr">
        <is>
          <t>0.4 – 0.8</t>
        </is>
      </c>
      <c r="F53" s="11" t="inlineStr">
        <is>
          <t>random 与 greedy 之间。注意：corner（固定方向流）实测比 random 还差 8%，是负技巧 —— 见风险 R9。</t>
        </is>
      </c>
    </row>
    <row r="54">
      <c r="A54" s="9" t="inlineStr">
        <is>
          <t>技术</t>
        </is>
      </c>
      <c r="B54" s="9" t="inlineStr">
        <is>
          <t>高手超载次数比</t>
        </is>
      </c>
      <c r="C54" s="9" t="inlineStr">
        <is>
          <t>SK_EXPERT</t>
        </is>
      </c>
      <c r="D54" s="10" t="n">
        <v>1</v>
      </c>
      <c r="E54" s="9" t="inlineStr">
        <is>
          <t>—</t>
        </is>
      </c>
      <c r="F54" s="11" t="inlineStr">
        <is>
          <t>基准。</t>
        </is>
      </c>
    </row>
    <row r="55">
      <c r="A55" s="9" t="inlineStr">
        <is>
          <t>技术</t>
        </is>
      </c>
      <c r="B55" s="9" t="inlineStr">
        <is>
          <t>小附魔技术倍率</t>
        </is>
      </c>
      <c r="C55" s="9" t="inlineStr">
        <is>
          <t>SK_CHARGE</t>
        </is>
      </c>
      <c r="D55" s="10" t="n">
        <v>1.05</v>
      </c>
      <c r="E55" s="9" t="inlineStr">
        <is>
          <t>1.0 – 1.10</t>
        </is>
      </c>
      <c r="F55" s="11" t="inlineStr">
        <is>
          <t>★★ 实测：小附魔频率 random 1.87 / greedy 1.99，仅差 6%。几乎不随技术变化。</t>
        </is>
      </c>
    </row>
    <row r="56">
      <c r="A56" s="9" t="inlineStr">
        <is>
          <t>风险</t>
        </is>
      </c>
      <c r="B56" s="9" t="inlineStr">
        <is>
          <t>失败保底比例</t>
        </is>
      </c>
      <c r="C56" s="9" t="inlineStr">
        <is>
          <t>B_FAIL</t>
        </is>
      </c>
      <c r="D56" s="12" t="n">
        <v>0.4</v>
      </c>
      <c r="E56" s="9" t="inlineStr">
        <is>
          <t>0.2 – 0.6</t>
        </is>
      </c>
      <c r="F56" s="11" t="inlineStr">
        <is>
          <t>★★ 冒险倾向主旋钮。0.4 → 继续阈值 p&gt;43%。见 07 表。</t>
        </is>
      </c>
    </row>
    <row r="57">
      <c r="A57" s="9" t="inlineStr">
        <is>
          <t>风险</t>
        </is>
      </c>
      <c r="B57" s="9" t="inlineStr">
        <is>
          <t>下一关收益/当前池</t>
        </is>
      </c>
      <c r="C57" s="9" t="inlineStr">
        <is>
          <t>R_RATIO</t>
        </is>
      </c>
      <c r="D57" s="12" t="n">
        <v>0.8</v>
      </c>
      <c r="E57" s="9" t="inlineStr">
        <is>
          <t>0.5 – 1.2</t>
        </is>
      </c>
      <c r="F57" s="11" t="inlineStr">
        <is>
          <t>由关卡收益倍率递增推导。</t>
        </is>
      </c>
    </row>
    <row r="58">
      <c r="A58" s="9" t="inlineStr">
        <is>
          <t>风险</t>
        </is>
      </c>
      <c r="B58" s="9" t="inlineStr">
        <is>
          <t>满养成倍率</t>
        </is>
      </c>
      <c r="C58" s="9" t="inlineStr">
        <is>
          <t>MAX_UPG</t>
        </is>
      </c>
      <c r="D58" s="12" t="n">
        <v>1.6</v>
      </c>
      <c r="E58" s="9" t="inlineStr">
        <is>
          <t>1.3 – 2.0</t>
        </is>
      </c>
      <c r="F58" s="11" t="inlineStr">
        <is>
          <t>满养成相对零养成的战力倍率。用于漏怪模型。★ 超过 1.8 会碾压局内卡牌。</t>
        </is>
      </c>
    </row>
    <row r="59">
      <c r="A59" s="9" t="inlineStr">
        <is>
          <t>养成</t>
        </is>
      </c>
      <c r="B59" s="9" t="inlineStr">
        <is>
          <t>养成树基础成本</t>
        </is>
      </c>
      <c r="C59" s="9" t="inlineStr">
        <is>
          <t>TREE_BASE</t>
        </is>
      </c>
      <c r="D59" s="12" t="n">
        <v>40</v>
      </c>
      <c r="E59" s="9" t="inlineStr">
        <is>
          <t>30 – 60</t>
        </is>
      </c>
      <c r="F59" s="11" t="inlineStr">
        <is>
          <t>星尘。</t>
        </is>
      </c>
    </row>
    <row r="60">
      <c r="A60" s="9" t="inlineStr">
        <is>
          <t>养成</t>
        </is>
      </c>
      <c r="B60" s="9" t="inlineStr">
        <is>
          <t>养成树成本增长</t>
        </is>
      </c>
      <c r="C60" s="9" t="inlineStr">
        <is>
          <t>TREE_GROW</t>
        </is>
      </c>
      <c r="D60" s="12" t="n">
        <v>1.3</v>
      </c>
      <c r="E60" s="9" t="inlineStr">
        <is>
          <t>1.22 – 1.38</t>
        </is>
      </c>
      <c r="F60" s="11" t="inlineStr">
        <is>
          <t>★ 长线时长主旋钮。1.30 → 全树约 3–5 周。</t>
        </is>
      </c>
    </row>
    <row r="61">
      <c r="A61" s="9" t="inlineStr">
        <is>
          <t>养成</t>
        </is>
      </c>
      <c r="B61" s="9" t="inlineStr">
        <is>
          <t>养成树最大等级</t>
        </is>
      </c>
      <c r="C61" s="9" t="inlineStr">
        <is>
          <t>TREE_MAX</t>
        </is>
      </c>
      <c r="D61" s="12" t="n">
        <v>10</v>
      </c>
      <c r="E61" s="9" t="inlineStr">
        <is>
          <t>8 – 15</t>
        </is>
      </c>
      <c r="F61" s="11" t="inlineStr">
        <is>
          <t>每分支等级上限。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78" customWidth="1" min="4" max="4"/>
    <col width="8" customWidth="1" min="5" max="5"/>
    <col width="10" customWidth="1" min="6" max="6"/>
    <col width="16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1" customWidth="1" min="13" max="13"/>
  </cols>
  <sheetData>
    <row r="1">
      <c r="A1" s="1" t="inlineStr">
        <is>
          <t>方块值 → 充能' / CV' / 各货币 / 附魔伤害（★ v0.2 已归一化：CV' = v / E）</t>
        </is>
      </c>
    </row>
    <row r="3">
      <c r="A3" s="3" t="inlineStr">
        <is>
          <t>第一步：选择档位（改 B5 的 E 值切换，全表联动）</t>
        </is>
      </c>
    </row>
    <row r="4" ht="30" customHeight="1">
      <c r="A4" s="8" t="inlineStr">
        <is>
          <t>参数</t>
        </is>
      </c>
      <c r="B4" s="8" t="inlineStr">
        <is>
          <t>值</t>
        </is>
      </c>
      <c r="C4" s="8" t="inlineStr">
        <is>
          <t>说明</t>
        </is>
      </c>
    </row>
    <row r="5">
      <c r="A5" s="9" t="inlineStr">
        <is>
          <t>当前档位生成期望 E</t>
        </is>
      </c>
      <c r="B5" s="12" t="n">
        <v>2.2</v>
      </c>
      <c r="C5" s="9" t="inlineStr">
        <is>
          <t>弱分层五档：2.2 / 3.0 / 4.8 / 6.0 / 9.6。改这个单元格即可切换档位查看换算。</t>
        </is>
      </c>
    </row>
    <row r="7">
      <c r="A7" s="3" t="inlineStr">
        <is>
          <t>弱分层五档参考（v0.2 M2）</t>
        </is>
      </c>
    </row>
    <row r="8" ht="30" customHeight="1">
      <c r="A8" s="8" t="inlineStr">
        <is>
          <t>档位</t>
        </is>
      </c>
      <c r="B8" s="8" t="inlineStr">
        <is>
          <t>关卡</t>
        </is>
      </c>
      <c r="C8" s="8" t="inlineStr">
        <is>
          <t>生成池</t>
        </is>
      </c>
      <c r="D8" s="8" t="inlineStr">
        <is>
          <t>E[生成]</t>
        </is>
      </c>
      <c r="E8" s="8" t="inlineStr">
        <is>
          <t>平均合成值</t>
        </is>
      </c>
      <c r="F8" s="8" t="inlineStr">
        <is>
          <t>该档技巧门槛</t>
        </is>
      </c>
      <c r="G8" s="8" t="inlineStr">
        <is>
          <t>合 256 的 CV'</t>
        </is>
      </c>
      <c r="H8" s="8" t="inlineStr">
        <is>
          <t>合 512 的 CV'</t>
        </is>
      </c>
    </row>
    <row r="9">
      <c r="A9" s="9" t="n">
        <v>1</v>
      </c>
      <c r="B9" s="9" t="inlineStr">
        <is>
          <t>关 1–2</t>
        </is>
      </c>
      <c r="C9" s="9" t="inlineStr">
        <is>
          <t>2(90%)/4(10%)</t>
        </is>
      </c>
      <c r="D9" s="13">
        <f>'01_核心常量'!$D$13</f>
        <v/>
      </c>
      <c r="E9" s="13">
        <f>D9*'01_核心常量'!$D$11</f>
        <v/>
      </c>
      <c r="F9" s="9" t="inlineStr">
        <is>
          <t>冲 256（熟练 37%）</t>
        </is>
      </c>
      <c r="G9" s="13">
        <f>256/D9</f>
        <v/>
      </c>
      <c r="H9" s="13">
        <f>512/D9</f>
        <v/>
      </c>
    </row>
    <row r="10">
      <c r="A10" s="9" t="n">
        <v>2</v>
      </c>
      <c r="B10" s="9" t="inlineStr">
        <is>
          <t>关 3–4</t>
        </is>
      </c>
      <c r="C10" s="9" t="inlineStr">
        <is>
          <t>2(70%)/4(20%)/8(10%)</t>
        </is>
      </c>
      <c r="D10" s="13">
        <f>'01_核心常量'!$D$14</f>
        <v/>
      </c>
      <c r="E10" s="13">
        <f>D10*'01_核心常量'!$D$11</f>
        <v/>
      </c>
      <c r="F10" s="9" t="inlineStr">
        <is>
          <t>冲 256 稳定化</t>
        </is>
      </c>
      <c r="G10" s="13">
        <f>256/D10</f>
        <v/>
      </c>
      <c r="H10" s="13">
        <f>512/D10</f>
        <v/>
      </c>
    </row>
    <row r="11">
      <c r="A11" s="9" t="n">
        <v>3</v>
      </c>
      <c r="B11" s="9" t="inlineStr">
        <is>
          <t>关 5–6</t>
        </is>
      </c>
      <c r="C11" s="9" t="inlineStr">
        <is>
          <t>4(80%)/8(20%)</t>
        </is>
      </c>
      <c r="D11" s="13">
        <f>'01_核心常量'!$D$15</f>
        <v/>
      </c>
      <c r="E11" s="13">
        <f>D11*'01_核心常量'!$D$11</f>
        <v/>
      </c>
      <c r="F11" s="9" t="inlineStr">
        <is>
          <t>冲 512（熟练 58%）</t>
        </is>
      </c>
      <c r="G11" s="13">
        <f>256/D11</f>
        <v/>
      </c>
      <c r="H11" s="13">
        <f>512/D11</f>
        <v/>
      </c>
    </row>
    <row r="12">
      <c r="A12" s="9" t="n">
        <v>4</v>
      </c>
      <c r="B12" s="9" t="inlineStr">
        <is>
          <t>关 7–9</t>
        </is>
      </c>
      <c r="C12" s="9" t="inlineStr">
        <is>
          <t>4(70%)/8(20%)/16(10%)</t>
        </is>
      </c>
      <c r="D12" s="13">
        <f>'01_核心常量'!$D$16</f>
        <v/>
      </c>
      <c r="E12" s="13">
        <f>D12*'01_核心常量'!$D$11</f>
        <v/>
      </c>
      <c r="F12" s="9" t="inlineStr">
        <is>
          <t>冲 512 稳定化</t>
        </is>
      </c>
      <c r="G12" s="13">
        <f>256/D12</f>
        <v/>
      </c>
      <c r="H12" s="13">
        <f>512/D12</f>
        <v/>
      </c>
    </row>
    <row r="13">
      <c r="A13" s="9" t="n">
        <v>5</v>
      </c>
      <c r="B13" s="9" t="inlineStr">
        <is>
          <t>关 10+</t>
        </is>
      </c>
      <c r="C13" s="9" t="inlineStr">
        <is>
          <t>8(80%)/16(20%)</t>
        </is>
      </c>
      <c r="D13" s="13">
        <f>'01_核心常量'!$D$17</f>
        <v/>
      </c>
      <c r="E13" s="13">
        <f>D13*'01_核心常量'!$D$11</f>
        <v/>
      </c>
      <c r="F13" s="9" t="inlineStr">
        <is>
          <t>冲 1024（熟练 57%）</t>
        </is>
      </c>
      <c r="G13" s="13">
        <f>256/D13</f>
        <v/>
      </c>
      <c r="H13" s="13">
        <f>512/D13</f>
        <v/>
      </c>
    </row>
    <row r="15">
      <c r="A15" s="7" t="inlineStr">
        <is>
          <t>★ 归一化 CV' 的含义：它衡量「这次合成的难度」，不是数值大小。关 1 合出 256（占全局 78% 总价值）值 116 CV；关 10 合出 256 只是日常，只值 27 CV。同一份努力拿到同一份回报。</t>
        </is>
      </c>
    </row>
    <row r="16">
      <c r="A16" s="7" t="inlineStr">
        <is>
          <t>★ 注意「合 256 的 CV'」随档位下降 —— 这是刻意的：高关卡的 256 不再稀缺，救济感由更高的星级（512/1024）接棒。</t>
        </is>
      </c>
    </row>
    <row r="18">
      <c r="A18" s="3" t="inlineStr">
        <is>
          <t>换算总表（按上方 E 值计算）</t>
        </is>
      </c>
    </row>
    <row r="19" ht="30" customHeight="1">
      <c r="A19" s="8" t="inlineStr">
        <is>
          <t>方块值 v</t>
        </is>
      </c>
      <c r="B19" s="8" t="inlineStr">
        <is>
          <t>log₂v</t>
        </is>
      </c>
      <c r="C19" s="8" t="inlineStr">
        <is>
          <t>充能'</t>
        </is>
      </c>
      <c r="D19" s="8" t="inlineStr">
        <is>
          <t>是否超载</t>
        </is>
      </c>
      <c r="E19" s="8" t="inlineStr">
        <is>
          <t>品质</t>
        </is>
      </c>
      <c r="F19" s="8" t="inlineStr">
        <is>
          <t>威力系数</t>
        </is>
      </c>
      <c r="G19" s="8" t="inlineStr">
        <is>
          <t>附魔总伤害池</t>
        </is>
      </c>
      <c r="H19" s="8" t="inlineStr">
        <is>
          <t>CV'(合成)</t>
        </is>
      </c>
      <c r="I19" s="8" t="inlineStr">
        <is>
          <t>CV'(升华)</t>
        </is>
      </c>
      <c r="J19" s="8" t="inlineStr">
        <is>
          <t>星核</t>
        </is>
      </c>
      <c r="K19" s="8" t="inlineStr">
        <is>
          <t>晶核</t>
        </is>
      </c>
      <c r="L19" s="8" t="inlineStr">
        <is>
          <t>金币(关1)</t>
        </is>
      </c>
      <c r="M19" s="8" t="inlineStr">
        <is>
          <t>碎片(关1)</t>
        </is>
      </c>
    </row>
    <row r="20">
      <c r="A20" s="9" t="n">
        <v>4</v>
      </c>
      <c r="B20" s="9" t="n">
        <v>2</v>
      </c>
      <c r="C20" s="13">
        <f>'01_核心常量'!$D$20*LOG(A20/$B$5,2)*'01_核心常量'!$D$12</f>
        <v/>
      </c>
      <c r="D20" s="9" t="inlineStr">
        <is>
          <t>—</t>
        </is>
      </c>
      <c r="E20" s="9" t="inlineStr">
        <is>
          <t>—</t>
        </is>
      </c>
      <c r="F20" s="9" t="n">
        <v>1</v>
      </c>
      <c r="G20" s="14">
        <f>'01_核心常量'!$D$21*F20*'01_核心常量'!$D$22</f>
        <v/>
      </c>
      <c r="H20" s="13">
        <f>A20/$B$5</f>
        <v/>
      </c>
      <c r="I20" s="13">
        <f>IF(A20&gt;='01_核心常量'!$D$29,A20/$B$5*'01_核心常量'!$D$28,0)</f>
        <v/>
      </c>
      <c r="J20" s="13">
        <f>H20*'01_核心常量'!$D$25</f>
        <v/>
      </c>
      <c r="K20" s="9" t="n">
        <v>0</v>
      </c>
      <c r="L20" s="13">
        <f>H20*'01_核心常量'!$D$26</f>
        <v/>
      </c>
      <c r="M20" s="15">
        <f>H20*'01_核心常量'!$D$27</f>
        <v/>
      </c>
    </row>
    <row r="21">
      <c r="A21" s="9" t="n">
        <v>8</v>
      </c>
      <c r="B21" s="9" t="n">
        <v>3</v>
      </c>
      <c r="C21" s="13">
        <f>'01_核心常量'!$D$20*LOG(A21/$B$5,2)*'01_核心常量'!$D$12</f>
        <v/>
      </c>
      <c r="D21" s="9" t="inlineStr">
        <is>
          <t>—</t>
        </is>
      </c>
      <c r="E21" s="9" t="inlineStr">
        <is>
          <t>—</t>
        </is>
      </c>
      <c r="F21" s="9" t="n">
        <v>1</v>
      </c>
      <c r="G21" s="14">
        <f>'01_核心常量'!$D$21*F21*'01_核心常量'!$D$22</f>
        <v/>
      </c>
      <c r="H21" s="13">
        <f>A21/$B$5</f>
        <v/>
      </c>
      <c r="I21" s="13">
        <f>IF(A21&gt;='01_核心常量'!$D$29,A21/$B$5*'01_核心常量'!$D$28,0)</f>
        <v/>
      </c>
      <c r="J21" s="13">
        <f>H21*'01_核心常量'!$D$25</f>
        <v/>
      </c>
      <c r="K21" s="9" t="n">
        <v>0</v>
      </c>
      <c r="L21" s="13">
        <f>H21*'01_核心常量'!$D$26</f>
        <v/>
      </c>
      <c r="M21" s="15">
        <f>H21*'01_核心常量'!$D$27</f>
        <v/>
      </c>
    </row>
    <row r="22">
      <c r="A22" s="9" t="n">
        <v>16</v>
      </c>
      <c r="B22" s="9" t="n">
        <v>4</v>
      </c>
      <c r="C22" s="13">
        <f>'01_核心常量'!$D$20*LOG(A22/$B$5,2)*'01_核心常量'!$D$12</f>
        <v/>
      </c>
      <c r="D22" s="9" t="inlineStr">
        <is>
          <t>—</t>
        </is>
      </c>
      <c r="E22" s="9" t="inlineStr">
        <is>
          <t>—</t>
        </is>
      </c>
      <c r="F22" s="9" t="n">
        <v>1</v>
      </c>
      <c r="G22" s="14">
        <f>'01_核心常量'!$D$21*F22*'01_核心常量'!$D$22</f>
        <v/>
      </c>
      <c r="H22" s="13">
        <f>A22/$B$5</f>
        <v/>
      </c>
      <c r="I22" s="13">
        <f>IF(A22&gt;='01_核心常量'!$D$29,A22/$B$5*'01_核心常量'!$D$28,0)</f>
        <v/>
      </c>
      <c r="J22" s="13">
        <f>H22*'01_核心常量'!$D$25</f>
        <v/>
      </c>
      <c r="K22" s="9" t="n">
        <v>0</v>
      </c>
      <c r="L22" s="13">
        <f>H22*'01_核心常量'!$D$26</f>
        <v/>
      </c>
      <c r="M22" s="15">
        <f>H22*'01_核心常量'!$D$27</f>
        <v/>
      </c>
    </row>
    <row r="23">
      <c r="A23" s="9" t="n">
        <v>32</v>
      </c>
      <c r="B23" s="9" t="n">
        <v>5</v>
      </c>
      <c r="C23" s="13">
        <f>'01_核心常量'!$D$20*LOG(A23/$B$5,2)*'01_核心常量'!$D$12</f>
        <v/>
      </c>
      <c r="D23" s="9" t="inlineStr">
        <is>
          <t>—</t>
        </is>
      </c>
      <c r="E23" s="9" t="inlineStr">
        <is>
          <t>—</t>
        </is>
      </c>
      <c r="F23" s="9" t="n">
        <v>1</v>
      </c>
      <c r="G23" s="14">
        <f>'01_核心常量'!$D$21*F23*'01_核心常量'!$D$22</f>
        <v/>
      </c>
      <c r="H23" s="13">
        <f>A23/$B$5</f>
        <v/>
      </c>
      <c r="I23" s="13">
        <f>IF(A23&gt;='01_核心常量'!$D$29,A23/$B$5*'01_核心常量'!$D$28,0)</f>
        <v/>
      </c>
      <c r="J23" s="13">
        <f>H23*'01_核心常量'!$D$25</f>
        <v/>
      </c>
      <c r="K23" s="9" t="n">
        <v>0</v>
      </c>
      <c r="L23" s="13">
        <f>H23*'01_核心常量'!$D$26</f>
        <v/>
      </c>
      <c r="M23" s="15">
        <f>H23*'01_核心常量'!$D$27</f>
        <v/>
      </c>
    </row>
    <row r="24">
      <c r="A24" s="9" t="n">
        <v>64</v>
      </c>
      <c r="B24" s="9" t="n">
        <v>6</v>
      </c>
      <c r="C24" s="13">
        <f>'01_核心常量'!$D$20*LOG(A24/$B$5,2)*'01_核心常量'!$D$12</f>
        <v/>
      </c>
      <c r="D24" s="9" t="inlineStr">
        <is>
          <t>—</t>
        </is>
      </c>
      <c r="E24" s="9" t="inlineStr">
        <is>
          <t>—</t>
        </is>
      </c>
      <c r="F24" s="9" t="n">
        <v>1</v>
      </c>
      <c r="G24" s="14">
        <f>'01_核心常量'!$D$21*F24*'01_核心常量'!$D$22</f>
        <v/>
      </c>
      <c r="H24" s="13">
        <f>A24/$B$5</f>
        <v/>
      </c>
      <c r="I24" s="13">
        <f>IF(A24&gt;='01_核心常量'!$D$29,A24/$B$5*'01_核心常量'!$D$28,0)</f>
        <v/>
      </c>
      <c r="J24" s="13">
        <f>H24*'01_核心常量'!$D$25</f>
        <v/>
      </c>
      <c r="K24" s="9" t="n">
        <v>0</v>
      </c>
      <c r="L24" s="13">
        <f>H24*'01_核心常量'!$D$26</f>
        <v/>
      </c>
      <c r="M24" s="15">
        <f>H24*'01_核心常量'!$D$27</f>
        <v/>
      </c>
    </row>
    <row r="25">
      <c r="A25" s="9" t="n">
        <v>128</v>
      </c>
      <c r="B25" s="9" t="n">
        <v>7</v>
      </c>
      <c r="C25" s="13">
        <f>'01_核心常量'!$D$20*LOG(A25/$B$5,2)*'01_核心常量'!$D$12</f>
        <v/>
      </c>
      <c r="D25" s="9" t="inlineStr">
        <is>
          <t>—</t>
        </is>
      </c>
      <c r="E25" s="9" t="inlineStr">
        <is>
          <t>—</t>
        </is>
      </c>
      <c r="F25" s="9" t="n">
        <v>1</v>
      </c>
      <c r="G25" s="14">
        <f>'01_核心常量'!$D$21*F25*'01_核心常量'!$D$22</f>
        <v/>
      </c>
      <c r="H25" s="13">
        <f>A25/$B$5</f>
        <v/>
      </c>
      <c r="I25" s="13">
        <f>IF(A25&gt;='01_核心常量'!$D$29,A25/$B$5*'01_核心常量'!$D$28,0)</f>
        <v/>
      </c>
      <c r="J25" s="13">
        <f>H25*'01_核心常量'!$D$25</f>
        <v/>
      </c>
      <c r="K25" s="9" t="n">
        <v>1</v>
      </c>
      <c r="L25" s="13">
        <f>H25*'01_核心常量'!$D$26</f>
        <v/>
      </c>
      <c r="M25" s="15">
        <f>H25*'01_核心常量'!$D$27</f>
        <v/>
      </c>
    </row>
    <row r="26">
      <c r="A26" s="9" t="n">
        <v>256</v>
      </c>
      <c r="B26" s="9" t="n">
        <v>8</v>
      </c>
      <c r="C26" s="13">
        <f>'01_核心常量'!$D$20*LOG(A26/$B$5,2)*'01_核心常量'!$D$12</f>
        <v/>
      </c>
      <c r="D26" s="9" t="inlineStr">
        <is>
          <t>超载</t>
        </is>
      </c>
      <c r="E26" s="9" t="inlineStr">
        <is>
          <t>1★</t>
        </is>
      </c>
      <c r="F26" s="9" t="n">
        <v>2</v>
      </c>
      <c r="G26" s="14">
        <f>'01_核心常量'!$D$21*F26*'01_核心常量'!$D$22</f>
        <v/>
      </c>
      <c r="H26" s="13">
        <f>A26/$B$5</f>
        <v/>
      </c>
      <c r="I26" s="13">
        <f>IF(A26&gt;='01_核心常量'!$D$29,A26/$B$5*'01_核心常量'!$D$28,0)</f>
        <v/>
      </c>
      <c r="J26" s="13">
        <f>H26*'01_核心常量'!$D$25</f>
        <v/>
      </c>
      <c r="K26" s="9" t="n">
        <v>1</v>
      </c>
      <c r="L26" s="13">
        <f>H26*'01_核心常量'!$D$26</f>
        <v/>
      </c>
      <c r="M26" s="15">
        <f>H26*'01_核心常量'!$D$27</f>
        <v/>
      </c>
    </row>
    <row r="27">
      <c r="A27" s="9" t="n">
        <v>512</v>
      </c>
      <c r="B27" s="9" t="n">
        <v>9</v>
      </c>
      <c r="C27" s="13">
        <f>'01_核心常量'!$D$20*LOG(A27/$B$5,2)*'01_核心常量'!$D$12</f>
        <v/>
      </c>
      <c r="D27" s="9" t="inlineStr">
        <is>
          <t>超载</t>
        </is>
      </c>
      <c r="E27" s="9" t="inlineStr">
        <is>
          <t>2★</t>
        </is>
      </c>
      <c r="F27" s="9" t="n">
        <v>3.5</v>
      </c>
      <c r="G27" s="14">
        <f>'01_核心常量'!$D$21*F27*'01_核心常量'!$D$22</f>
        <v/>
      </c>
      <c r="H27" s="13">
        <f>A27/$B$5</f>
        <v/>
      </c>
      <c r="I27" s="13">
        <f>IF(A27&gt;='01_核心常量'!$D$29,A27/$B$5*'01_核心常量'!$D$28,0)</f>
        <v/>
      </c>
      <c r="J27" s="13">
        <f>H27*'01_核心常量'!$D$25</f>
        <v/>
      </c>
      <c r="K27" s="9" t="n">
        <v>3</v>
      </c>
      <c r="L27" s="13">
        <f>H27*'01_核心常量'!$D$26</f>
        <v/>
      </c>
      <c r="M27" s="15">
        <f>H27*'01_核心常量'!$D$27</f>
        <v/>
      </c>
    </row>
    <row r="28">
      <c r="A28" s="9" t="n">
        <v>1024</v>
      </c>
      <c r="B28" s="9" t="n">
        <v>10</v>
      </c>
      <c r="C28" s="13">
        <f>'01_核心常量'!$D$20*LOG(A28/$B$5,2)*'01_核心常量'!$D$12</f>
        <v/>
      </c>
      <c r="D28" s="9" t="inlineStr">
        <is>
          <t>超载</t>
        </is>
      </c>
      <c r="E28" s="9" t="inlineStr">
        <is>
          <t>3★</t>
        </is>
      </c>
      <c r="F28" s="9" t="n">
        <v>6</v>
      </c>
      <c r="G28" s="14">
        <f>'01_核心常量'!$D$21*F28*'01_核心常量'!$D$22</f>
        <v/>
      </c>
      <c r="H28" s="13">
        <f>A28/$B$5</f>
        <v/>
      </c>
      <c r="I28" s="13">
        <f>IF(A28&gt;='01_核心常量'!$D$29,A28/$B$5*'01_核心常量'!$D$28,0)</f>
        <v/>
      </c>
      <c r="J28" s="13">
        <f>H28*'01_核心常量'!$D$25</f>
        <v/>
      </c>
      <c r="K28" s="9" t="n">
        <v>3</v>
      </c>
      <c r="L28" s="13">
        <f>H28*'01_核心常量'!$D$26</f>
        <v/>
      </c>
      <c r="M28" s="15">
        <f>H28*'01_核心常量'!$D$27</f>
        <v/>
      </c>
    </row>
    <row r="29">
      <c r="A29" s="9" t="n">
        <v>2048</v>
      </c>
      <c r="B29" s="9" t="n">
        <v>11</v>
      </c>
      <c r="C29" s="13">
        <f>'01_核心常量'!$D$20*LOG(A29/$B$5,2)*'01_核心常量'!$D$12</f>
        <v/>
      </c>
      <c r="D29" s="9" t="inlineStr">
        <is>
          <t>超载</t>
        </is>
      </c>
      <c r="E29" s="9" t="inlineStr">
        <is>
          <t>4★</t>
        </is>
      </c>
      <c r="F29" s="9" t="n">
        <v>10</v>
      </c>
      <c r="G29" s="14">
        <f>'01_核心常量'!$D$21*F29*'01_核心常量'!$D$22</f>
        <v/>
      </c>
      <c r="H29" s="13">
        <f>A29/$B$5</f>
        <v/>
      </c>
      <c r="I29" s="13">
        <f>IF(A29&gt;='01_核心常量'!$D$29,A29/$B$5*'01_核心常量'!$D$28,0)</f>
        <v/>
      </c>
      <c r="J29" s="13">
        <f>H29*'01_核心常量'!$D$25</f>
        <v/>
      </c>
      <c r="K29" s="9" t="n">
        <v>8</v>
      </c>
      <c r="L29" s="13">
        <f>H29*'01_核心常量'!$D$26</f>
        <v/>
      </c>
      <c r="M29" s="15">
        <f>H29*'01_核心常量'!$D$27</f>
        <v/>
      </c>
    </row>
    <row r="30">
      <c r="A30" s="9" t="n">
        <v>4096</v>
      </c>
      <c r="B30" s="9" t="n">
        <v>12</v>
      </c>
      <c r="C30" s="13">
        <f>'01_核心常量'!$D$20*LOG(A30/$B$5,2)*'01_核心常量'!$D$12</f>
        <v/>
      </c>
      <c r="D30" s="9" t="inlineStr">
        <is>
          <t>超载</t>
        </is>
      </c>
      <c r="E30" s="9" t="inlineStr">
        <is>
          <t>5★</t>
        </is>
      </c>
      <c r="F30" s="9" t="n">
        <v>16</v>
      </c>
      <c r="G30" s="14">
        <f>'01_核心常量'!$D$21*F30*'01_核心常量'!$D$22</f>
        <v/>
      </c>
      <c r="H30" s="13">
        <f>A30/$B$5</f>
        <v/>
      </c>
      <c r="I30" s="13">
        <f>IF(A30&gt;='01_核心常量'!$D$29,A30/$B$5*'01_核心常量'!$D$28,0)</f>
        <v/>
      </c>
      <c r="J30" s="13">
        <f>H30*'01_核心常量'!$D$25</f>
        <v/>
      </c>
      <c r="K30" s="9" t="n">
        <v>8</v>
      </c>
      <c r="L30" s="13">
        <f>H30*'01_核心常量'!$D$26</f>
        <v/>
      </c>
      <c r="M30" s="15">
        <f>H30*'01_核心常量'!$D$27</f>
        <v/>
      </c>
    </row>
    <row r="31">
      <c r="A31" s="9" t="n">
        <v>8192</v>
      </c>
      <c r="B31" s="9" t="n">
        <v>13</v>
      </c>
      <c r="C31" s="13">
        <f>'01_核心常量'!$D$20*LOG(A31/$B$5,2)*'01_核心常量'!$D$12</f>
        <v/>
      </c>
      <c r="D31" s="9" t="inlineStr">
        <is>
          <t>—</t>
        </is>
      </c>
      <c r="E31" s="9" t="inlineStr">
        <is>
          <t>—</t>
        </is>
      </c>
      <c r="F31" s="9" t="n">
        <v>1</v>
      </c>
      <c r="G31" s="14">
        <f>'01_核心常量'!$D$21*F31*'01_核心常量'!$D$22</f>
        <v/>
      </c>
      <c r="H31" s="13">
        <f>A31/$B$5</f>
        <v/>
      </c>
      <c r="I31" s="13">
        <f>IF(A31&gt;='01_核心常量'!$D$29,A31/$B$5*'01_核心常量'!$D$28,0)</f>
        <v/>
      </c>
      <c r="J31" s="13">
        <f>H31*'01_核心常量'!$D$25</f>
        <v/>
      </c>
      <c r="K31" s="9" t="n">
        <v>8</v>
      </c>
      <c r="L31" s="13">
        <f>H31*'01_核心常量'!$D$26</f>
        <v/>
      </c>
      <c r="M31" s="15">
        <f>H31*'01_核心常量'!$D$27</f>
        <v/>
      </c>
    </row>
    <row r="33">
      <c r="A33" s="7" t="inlineStr">
        <is>
          <t>★ 附魔总伤害池 = EP x 威力系数 x ELEM_CAP。这是「全场总伤害」，不是单体伤害 —— 火会均分给所有敌人，雷会集中在最前排。两者总量相等，区别纯化为分摊 vs 集中。</t>
        </is>
      </c>
    </row>
    <row r="34">
      <c r="A34" s="7" t="inlineStr">
        <is>
          <t>★ 充能' 公式里的 LOG_CORR = 0.78 是实测的 Jensen 修正项。合成值分布右偏，E[log] &lt; log(E[·])，直接用 log(均值) 会高估充能约 28%。</t>
        </is>
      </c>
    </row>
    <row r="35">
      <c r="A35" s="7" t="inlineStr">
        <is>
          <t>设计校验：一次 2048 超载（4★）= 180 x 10 x 2.5 = 4,500 总伤害，是关 1 波 1 全波敌人总 HP（570）的 7.9 倍。这是玩家截图分享的 jackpot 时刻。</t>
        </is>
      </c>
    </row>
    <row r="37">
      <c r="A37" s="3" t="inlineStr">
        <is>
          <t>共鸣倍率（连续同元素触发）</t>
        </is>
      </c>
    </row>
    <row r="38" ht="30" customHeight="1">
      <c r="A38" s="8" t="inlineStr">
        <is>
          <t>连续次数</t>
        </is>
      </c>
      <c r="B38" s="8" t="inlineStr">
        <is>
          <t>威力加成</t>
        </is>
      </c>
      <c r="C38" s="8" t="inlineStr">
        <is>
          <t>等效总伤害池</t>
        </is>
      </c>
      <c r="D38" s="8" t="inlineStr">
        <is>
          <t>说明</t>
        </is>
      </c>
    </row>
    <row r="39">
      <c r="A39" s="9" t="n">
        <v>1</v>
      </c>
      <c r="B39" s="16" t="n">
        <v>1</v>
      </c>
      <c r="C39" s="14">
        <f>'01_核心常量'!$D$21*B39*'01_核心常量'!$D$22</f>
        <v/>
      </c>
      <c r="D39" s="9" t="inlineStr">
        <is>
          <t>首次触发，基准。</t>
        </is>
      </c>
    </row>
    <row r="40">
      <c r="A40" s="9" t="n">
        <v>2</v>
      </c>
      <c r="B40" s="15">
        <f>'01_核心常量'!$D$23</f>
        <v/>
      </c>
      <c r="C40" s="14">
        <f>'01_核心常量'!$D$21*B40*'01_核心常量'!$D$22</f>
        <v/>
      </c>
      <c r="D40" s="9" t="inlineStr">
        <is>
          <t>轮盘排 [X,X] 的收益。</t>
        </is>
      </c>
    </row>
    <row r="41">
      <c r="A41" s="9" t="inlineStr">
        <is>
          <t>3+</t>
        </is>
      </c>
      <c r="B41" s="15">
        <f>'01_核心常量'!$D$24</f>
        <v/>
      </c>
      <c r="C41" s="14">
        <f>'01_核心常量'!$D$21*B41*'01_核心常量'!$D$22</f>
        <v/>
      </c>
      <c r="D41" s="9" t="inlineStr">
        <is>
          <t>附带「元素余韵」：持续类效果时长 +50%。轮盘排 [X,X,X] 是爆发构筑核心。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8" max="8"/>
    <col width="12" customWidth="1" min="9" max="9"/>
    <col width="10" customWidth="1" min="10" max="10"/>
    <col width="11" customWidth="1" min="11" max="11"/>
    <col width="10" customWidth="1" min="12" max="12"/>
    <col width="30" customWidth="1" min="13" max="13"/>
  </cols>
  <sheetData>
    <row r="1">
      <c r="A1" s="1" t="inlineStr">
        <is>
          <t>波次节奏模型 —— 归一化后 CV'/波 应跨档位恒定（★ 这是 M1 的验收标准）</t>
        </is>
      </c>
    </row>
    <row r="3" ht="30" customHeight="1">
      <c r="A3" s="8" t="inlineStr">
        <is>
          <t>关卡</t>
        </is>
      </c>
      <c r="B3" s="8" t="inlineStr">
        <is>
          <t>生成池</t>
        </is>
      </c>
      <c r="C3" s="8" t="inlineStr">
        <is>
          <t>E[生成]</t>
        </is>
      </c>
      <c r="D3" s="8" t="inlineStr">
        <is>
          <t>平均合成值</t>
        </is>
      </c>
      <c r="E3" s="8" t="inlineStr">
        <is>
          <t>每波步数</t>
        </is>
      </c>
      <c r="F3" s="8" t="inlineStr">
        <is>
          <t>合成次数/波</t>
        </is>
      </c>
      <c r="G3" s="8" t="inlineStr">
        <is>
          <t>CV'/波</t>
        </is>
      </c>
      <c r="H3" s="8" t="inlineStr">
        <is>
          <t>充能'/波</t>
        </is>
      </c>
      <c r="I3" s="8" t="inlineStr">
        <is>
          <t>小附魔/波</t>
        </is>
      </c>
      <c r="J3" s="8" t="inlineStr">
        <is>
          <t>星核/波</t>
        </is>
      </c>
      <c r="K3" s="8" t="inlineStr">
        <is>
          <t>金币/波</t>
        </is>
      </c>
      <c r="L3" s="8" t="inlineStr">
        <is>
          <t>碎片/波</t>
        </is>
      </c>
      <c r="M3" s="8" t="inlineStr">
        <is>
          <t>目标校验</t>
        </is>
      </c>
    </row>
    <row r="4">
      <c r="A4" s="9" t="n">
        <v>1</v>
      </c>
      <c r="B4" s="9" t="inlineStr">
        <is>
          <t>2(90%)/4(10%)</t>
        </is>
      </c>
      <c r="C4" s="13">
        <f>'01_核心常量'!$D$13</f>
        <v/>
      </c>
      <c r="D4" s="13">
        <f>C4*'01_核心常量'!$D$11</f>
        <v/>
      </c>
      <c r="E4" s="13">
        <f>'01_核心常量'!$D$30/'01_核心常量'!$D$8+'01_核心常量'!$D$9</f>
        <v/>
      </c>
      <c r="F4" s="13">
        <f>E4*'01_核心常量'!$D$10</f>
        <v/>
      </c>
      <c r="G4" s="17">
        <f>F4*'01_核心常量'!$D$11</f>
        <v/>
      </c>
      <c r="H4" s="17">
        <f>F4*'01_核心常量'!$D$20*LOG('01_核心常量'!$D$11,2)*'01_核心常量'!$D$12</f>
        <v/>
      </c>
      <c r="I4" s="15">
        <f>H4/'01_核心常量'!$D$19</f>
        <v/>
      </c>
      <c r="J4" s="13">
        <f>G4*'01_核心常量'!$D$25</f>
        <v/>
      </c>
      <c r="K4" s="14">
        <f>G4*'01_核心常量'!$D$26*(1+'01_核心常量'!$D$38*(A4-1))</f>
        <v/>
      </c>
      <c r="L4" s="13">
        <f>G4*'01_核心常量'!$D$27*(1+'01_核心常量'!$D$38*(A4-1))</f>
        <v/>
      </c>
      <c r="M4" s="9" t="inlineStr">
        <is>
          <t>CV' 应恒定 ≈ 151；小附魔 ≈ 1.5</t>
        </is>
      </c>
    </row>
    <row r="5">
      <c r="A5" s="9" t="n">
        <v>2</v>
      </c>
      <c r="B5" s="9" t="inlineStr">
        <is>
          <t>2(70%)/4(20%)/8(10%)</t>
        </is>
      </c>
      <c r="C5" s="13">
        <f>'01_核心常量'!$D$14</f>
        <v/>
      </c>
      <c r="D5" s="13">
        <f>C5*'01_核心常量'!$D$11</f>
        <v/>
      </c>
      <c r="E5" s="13">
        <f>'01_核心常量'!$D$30/'01_核心常量'!$D$8+'01_核心常量'!$D$9</f>
        <v/>
      </c>
      <c r="F5" s="13">
        <f>E5*'01_核心常量'!$D$10</f>
        <v/>
      </c>
      <c r="G5" s="17">
        <f>F5*'01_核心常量'!$D$11</f>
        <v/>
      </c>
      <c r="H5" s="17">
        <f>F5*'01_核心常量'!$D$20*LOG('01_核心常量'!$D$11,2)*'01_核心常量'!$D$12</f>
        <v/>
      </c>
      <c r="I5" s="15">
        <f>H5/'01_核心常量'!$D$19</f>
        <v/>
      </c>
      <c r="J5" s="13">
        <f>G5*'01_核心常量'!$D$25</f>
        <v/>
      </c>
      <c r="K5" s="14">
        <f>G5*'01_核心常量'!$D$26*(1+'01_核心常量'!$D$38*(A5-1))</f>
        <v/>
      </c>
      <c r="L5" s="13">
        <f>G5*'01_核心常量'!$D$27*(1+'01_核心常量'!$D$38*(A5-1))</f>
        <v/>
      </c>
      <c r="M5" s="9" t="inlineStr">
        <is>
          <t>CV' 应恒定 ≈ 151；小附魔 ≈ 1.5</t>
        </is>
      </c>
    </row>
    <row r="6">
      <c r="A6" s="9" t="n">
        <v>3</v>
      </c>
      <c r="B6" s="9" t="inlineStr">
        <is>
          <t>2(70%)/4(20%)/8(10%)</t>
        </is>
      </c>
      <c r="C6" s="13">
        <f>'01_核心常量'!$D$14</f>
        <v/>
      </c>
      <c r="D6" s="13">
        <f>C6*'01_核心常量'!$D$11</f>
        <v/>
      </c>
      <c r="E6" s="13">
        <f>'01_核心常量'!$D$30/'01_核心常量'!$D$8+'01_核心常量'!$D$9</f>
        <v/>
      </c>
      <c r="F6" s="13">
        <f>E6*'01_核心常量'!$D$10</f>
        <v/>
      </c>
      <c r="G6" s="17">
        <f>F6*'01_核心常量'!$D$11</f>
        <v/>
      </c>
      <c r="H6" s="17">
        <f>F6*'01_核心常量'!$D$20*LOG('01_核心常量'!$D$11,2)*'01_核心常量'!$D$12</f>
        <v/>
      </c>
      <c r="I6" s="15">
        <f>H6/'01_核心常量'!$D$19</f>
        <v/>
      </c>
      <c r="J6" s="13">
        <f>G6*'01_核心常量'!$D$25</f>
        <v/>
      </c>
      <c r="K6" s="14">
        <f>G6*'01_核心常量'!$D$26*(1+'01_核心常量'!$D$38*(A6-1))</f>
        <v/>
      </c>
      <c r="L6" s="13">
        <f>G6*'01_核心常量'!$D$27*(1+'01_核心常量'!$D$38*(A6-1))</f>
        <v/>
      </c>
      <c r="M6" s="9" t="inlineStr">
        <is>
          <t>CV' 应恒定 ≈ 151；小附魔 ≈ 1.5</t>
        </is>
      </c>
    </row>
    <row r="7">
      <c r="A7" s="9" t="n">
        <v>4</v>
      </c>
      <c r="B7" s="9" t="inlineStr">
        <is>
          <t>4(80%)/8(20%)</t>
        </is>
      </c>
      <c r="C7" s="13">
        <f>'01_核心常量'!$D$15</f>
        <v/>
      </c>
      <c r="D7" s="13">
        <f>C7*'01_核心常量'!$D$11</f>
        <v/>
      </c>
      <c r="E7" s="13">
        <f>'01_核心常量'!$D$30/'01_核心常量'!$D$8+'01_核心常量'!$D$9</f>
        <v/>
      </c>
      <c r="F7" s="13">
        <f>E7*'01_核心常量'!$D$10</f>
        <v/>
      </c>
      <c r="G7" s="17">
        <f>F7*'01_核心常量'!$D$11</f>
        <v/>
      </c>
      <c r="H7" s="17">
        <f>F7*'01_核心常量'!$D$20*LOG('01_核心常量'!$D$11,2)*'01_核心常量'!$D$12</f>
        <v/>
      </c>
      <c r="I7" s="15">
        <f>H7/'01_核心常量'!$D$19</f>
        <v/>
      </c>
      <c r="J7" s="13">
        <f>G7*'01_核心常量'!$D$25</f>
        <v/>
      </c>
      <c r="K7" s="14">
        <f>G7*'01_核心常量'!$D$26*(1+'01_核心常量'!$D$38*(A7-1))</f>
        <v/>
      </c>
      <c r="L7" s="13">
        <f>G7*'01_核心常量'!$D$27*(1+'01_核心常量'!$D$38*(A7-1))</f>
        <v/>
      </c>
      <c r="M7" s="9" t="inlineStr">
        <is>
          <t>CV' 应恒定 ≈ 151；小附魔 ≈ 1.5</t>
        </is>
      </c>
    </row>
    <row r="8">
      <c r="A8" s="9" t="n">
        <v>5</v>
      </c>
      <c r="B8" s="9" t="inlineStr">
        <is>
          <t>4(80%)/8(20%)</t>
        </is>
      </c>
      <c r="C8" s="13">
        <f>'01_核心常量'!$D$15</f>
        <v/>
      </c>
      <c r="D8" s="13">
        <f>C8*'01_核心常量'!$D$11</f>
        <v/>
      </c>
      <c r="E8" s="13">
        <f>'01_核心常量'!$D$30/'01_核心常量'!$D$8+'01_核心常量'!$D$9</f>
        <v/>
      </c>
      <c r="F8" s="13">
        <f>E8*'01_核心常量'!$D$10</f>
        <v/>
      </c>
      <c r="G8" s="17">
        <f>F8*'01_核心常量'!$D$11</f>
        <v/>
      </c>
      <c r="H8" s="17">
        <f>F8*'01_核心常量'!$D$20*LOG('01_核心常量'!$D$11,2)*'01_核心常量'!$D$12</f>
        <v/>
      </c>
      <c r="I8" s="15">
        <f>H8/'01_核心常量'!$D$19</f>
        <v/>
      </c>
      <c r="J8" s="13">
        <f>G8*'01_核心常量'!$D$25</f>
        <v/>
      </c>
      <c r="K8" s="14">
        <f>G8*'01_核心常量'!$D$26*(1+'01_核心常量'!$D$38*(A8-1))</f>
        <v/>
      </c>
      <c r="L8" s="13">
        <f>G8*'01_核心常量'!$D$27*(1+'01_核心常量'!$D$38*(A8-1))</f>
        <v/>
      </c>
      <c r="M8" s="9" t="inlineStr">
        <is>
          <t>CV' 应恒定 ≈ 151；小附魔 ≈ 1.5</t>
        </is>
      </c>
    </row>
    <row r="9">
      <c r="A9" s="9" t="n">
        <v>6</v>
      </c>
      <c r="B9" s="9" t="inlineStr">
        <is>
          <t>4(70%)/8(20%)/16(10%)</t>
        </is>
      </c>
      <c r="C9" s="13">
        <f>'01_核心常量'!$D$16</f>
        <v/>
      </c>
      <c r="D9" s="13">
        <f>C9*'01_核心常量'!$D$11</f>
        <v/>
      </c>
      <c r="E9" s="13">
        <f>'01_核心常量'!$D$30/'01_核心常量'!$D$8+'01_核心常量'!$D$9</f>
        <v/>
      </c>
      <c r="F9" s="13">
        <f>E9*'01_核心常量'!$D$10</f>
        <v/>
      </c>
      <c r="G9" s="17">
        <f>F9*'01_核心常量'!$D$11</f>
        <v/>
      </c>
      <c r="H9" s="17">
        <f>F9*'01_核心常量'!$D$20*LOG('01_核心常量'!$D$11,2)*'01_核心常量'!$D$12</f>
        <v/>
      </c>
      <c r="I9" s="15">
        <f>H9/'01_核心常量'!$D$19</f>
        <v/>
      </c>
      <c r="J9" s="13">
        <f>G9*'01_核心常量'!$D$25</f>
        <v/>
      </c>
      <c r="K9" s="14">
        <f>G9*'01_核心常量'!$D$26*(1+'01_核心常量'!$D$38*(A9-1))</f>
        <v/>
      </c>
      <c r="L9" s="13">
        <f>G9*'01_核心常量'!$D$27*(1+'01_核心常量'!$D$38*(A9-1))</f>
        <v/>
      </c>
      <c r="M9" s="9" t="inlineStr">
        <is>
          <t>CV' 应恒定 ≈ 151；小附魔 ≈ 1.5</t>
        </is>
      </c>
    </row>
    <row r="10">
      <c r="A10" s="9" t="n">
        <v>7</v>
      </c>
      <c r="B10" s="9" t="inlineStr">
        <is>
          <t>4(70%)/8(20%)/16(10%)</t>
        </is>
      </c>
      <c r="C10" s="13">
        <f>'01_核心常量'!$D$16</f>
        <v/>
      </c>
      <c r="D10" s="13">
        <f>C10*'01_核心常量'!$D$11</f>
        <v/>
      </c>
      <c r="E10" s="13">
        <f>'01_核心常量'!$D$30/'01_核心常量'!$D$8+'01_核心常量'!$D$9</f>
        <v/>
      </c>
      <c r="F10" s="13">
        <f>E10*'01_核心常量'!$D$10</f>
        <v/>
      </c>
      <c r="G10" s="17">
        <f>F10*'01_核心常量'!$D$11</f>
        <v/>
      </c>
      <c r="H10" s="17">
        <f>F10*'01_核心常量'!$D$20*LOG('01_核心常量'!$D$11,2)*'01_核心常量'!$D$12</f>
        <v/>
      </c>
      <c r="I10" s="15">
        <f>H10/'01_核心常量'!$D$19</f>
        <v/>
      </c>
      <c r="J10" s="13">
        <f>G10*'01_核心常量'!$D$25</f>
        <v/>
      </c>
      <c r="K10" s="14">
        <f>G10*'01_核心常量'!$D$26*(1+'01_核心常量'!$D$38*(A10-1))</f>
        <v/>
      </c>
      <c r="L10" s="13">
        <f>G10*'01_核心常量'!$D$27*(1+'01_核心常量'!$D$38*(A10-1))</f>
        <v/>
      </c>
      <c r="M10" s="9" t="inlineStr">
        <is>
          <t>CV' 应恒定 ≈ 151；小附魔 ≈ 1.5</t>
        </is>
      </c>
    </row>
    <row r="11">
      <c r="A11" s="9" t="n">
        <v>8</v>
      </c>
      <c r="B11" s="9" t="inlineStr">
        <is>
          <t>4(70%)/8(20%)/16(10%)</t>
        </is>
      </c>
      <c r="C11" s="13">
        <f>'01_核心常量'!$D$16</f>
        <v/>
      </c>
      <c r="D11" s="13">
        <f>C11*'01_核心常量'!$D$11</f>
        <v/>
      </c>
      <c r="E11" s="13">
        <f>'01_核心常量'!$D$30/'01_核心常量'!$D$8+'01_核心常量'!$D$9</f>
        <v/>
      </c>
      <c r="F11" s="13">
        <f>E11*'01_核心常量'!$D$10</f>
        <v/>
      </c>
      <c r="G11" s="17">
        <f>F11*'01_核心常量'!$D$11</f>
        <v/>
      </c>
      <c r="H11" s="17">
        <f>F11*'01_核心常量'!$D$20*LOG('01_核心常量'!$D$11,2)*'01_核心常量'!$D$12</f>
        <v/>
      </c>
      <c r="I11" s="15">
        <f>H11/'01_核心常量'!$D$19</f>
        <v/>
      </c>
      <c r="J11" s="13">
        <f>G11*'01_核心常量'!$D$25</f>
        <v/>
      </c>
      <c r="K11" s="14">
        <f>G11*'01_核心常量'!$D$26*(1+'01_核心常量'!$D$38*(A11-1))</f>
        <v/>
      </c>
      <c r="L11" s="13">
        <f>G11*'01_核心常量'!$D$27*(1+'01_核心常量'!$D$38*(A11-1))</f>
        <v/>
      </c>
      <c r="M11" s="9" t="inlineStr">
        <is>
          <t>CV' 应恒定 ≈ 151；小附魔 ≈ 1.5</t>
        </is>
      </c>
    </row>
    <row r="12">
      <c r="A12" s="9" t="n">
        <v>9</v>
      </c>
      <c r="B12" s="9" t="inlineStr">
        <is>
          <t>8(80%)/16(20%)</t>
        </is>
      </c>
      <c r="C12" s="13">
        <f>'01_核心常量'!$D$17</f>
        <v/>
      </c>
      <c r="D12" s="13">
        <f>C12*'01_核心常量'!$D$11</f>
        <v/>
      </c>
      <c r="E12" s="13">
        <f>'01_核心常量'!$D$30/'01_核心常量'!$D$8+'01_核心常量'!$D$9</f>
        <v/>
      </c>
      <c r="F12" s="13">
        <f>E12*'01_核心常量'!$D$10</f>
        <v/>
      </c>
      <c r="G12" s="17">
        <f>F12*'01_核心常量'!$D$11</f>
        <v/>
      </c>
      <c r="H12" s="17">
        <f>F12*'01_核心常量'!$D$20*LOG('01_核心常量'!$D$11,2)*'01_核心常量'!$D$12</f>
        <v/>
      </c>
      <c r="I12" s="15">
        <f>H12/'01_核心常量'!$D$19</f>
        <v/>
      </c>
      <c r="J12" s="13">
        <f>G12*'01_核心常量'!$D$25</f>
        <v/>
      </c>
      <c r="K12" s="14">
        <f>G12*'01_核心常量'!$D$26*(1+'01_核心常量'!$D$38*(A12-1))</f>
        <v/>
      </c>
      <c r="L12" s="13">
        <f>G12*'01_核心常量'!$D$27*(1+'01_核心常量'!$D$38*(A12-1))</f>
        <v/>
      </c>
      <c r="M12" s="9" t="inlineStr">
        <is>
          <t>CV' 应恒定 ≈ 151；小附魔 ≈ 1.5</t>
        </is>
      </c>
    </row>
    <row r="13">
      <c r="A13" s="9" t="n">
        <v>10</v>
      </c>
      <c r="B13" s="9" t="inlineStr">
        <is>
          <t>8(80%)/16(20%)</t>
        </is>
      </c>
      <c r="C13" s="13">
        <f>'01_核心常量'!$D$17</f>
        <v/>
      </c>
      <c r="D13" s="13">
        <f>C13*'01_核心常量'!$D$11</f>
        <v/>
      </c>
      <c r="E13" s="13">
        <f>'01_核心常量'!$D$30/'01_核心常量'!$D$8+'01_核心常量'!$D$9</f>
        <v/>
      </c>
      <c r="F13" s="13">
        <f>E13*'01_核心常量'!$D$10</f>
        <v/>
      </c>
      <c r="G13" s="17">
        <f>F13*'01_核心常量'!$D$11</f>
        <v/>
      </c>
      <c r="H13" s="17">
        <f>F13*'01_核心常量'!$D$20*LOG('01_核心常量'!$D$11,2)*'01_核心常量'!$D$12</f>
        <v/>
      </c>
      <c r="I13" s="15">
        <f>H13/'01_核心常量'!$D$19</f>
        <v/>
      </c>
      <c r="J13" s="13">
        <f>G13*'01_核心常量'!$D$25</f>
        <v/>
      </c>
      <c r="K13" s="14">
        <f>G13*'01_核心常量'!$D$26*(1+'01_核心常量'!$D$38*(A13-1))</f>
        <v/>
      </c>
      <c r="L13" s="13">
        <f>G13*'01_核心常量'!$D$27*(1+'01_核心常量'!$D$38*(A13-1))</f>
        <v/>
      </c>
      <c r="M13" s="9" t="inlineStr">
        <is>
          <t>CV' 应恒定 ≈ 151；小附魔 ≈ 1.5</t>
        </is>
      </c>
    </row>
    <row r="14">
      <c r="A14" s="9" t="n">
        <v>12</v>
      </c>
      <c r="B14" s="9" t="inlineStr">
        <is>
          <t>8(80%)/16(20%)</t>
        </is>
      </c>
      <c r="C14" s="13">
        <f>'01_核心常量'!$D$17</f>
        <v/>
      </c>
      <c r="D14" s="13">
        <f>C14*'01_核心常量'!$D$11</f>
        <v/>
      </c>
      <c r="E14" s="13">
        <f>'01_核心常量'!$D$30/'01_核心常量'!$D$8+'01_核心常量'!$D$9</f>
        <v/>
      </c>
      <c r="F14" s="13">
        <f>E14*'01_核心常量'!$D$10</f>
        <v/>
      </c>
      <c r="G14" s="17">
        <f>F14*'01_核心常量'!$D$11</f>
        <v/>
      </c>
      <c r="H14" s="17">
        <f>F14*'01_核心常量'!$D$20*LOG('01_核心常量'!$D$11,2)*'01_核心常量'!$D$12</f>
        <v/>
      </c>
      <c r="I14" s="15">
        <f>H14/'01_核心常量'!$D$19</f>
        <v/>
      </c>
      <c r="J14" s="13">
        <f>G14*'01_核心常量'!$D$25</f>
        <v/>
      </c>
      <c r="K14" s="14">
        <f>G14*'01_核心常量'!$D$26*(1+'01_核心常量'!$D$38*(A14-1))</f>
        <v/>
      </c>
      <c r="L14" s="13">
        <f>G14*'01_核心常量'!$D$27*(1+'01_核心常量'!$D$38*(A14-1))</f>
        <v/>
      </c>
      <c r="M14" s="9" t="inlineStr">
        <is>
          <t>CV' 应恒定 ≈ 151；小附魔 ≈ 1.5</t>
        </is>
      </c>
    </row>
    <row r="15">
      <c r="A15" s="9" t="n">
        <v>15</v>
      </c>
      <c r="B15" s="9" t="inlineStr">
        <is>
          <t>8(80%)/16(20%)</t>
        </is>
      </c>
      <c r="C15" s="13">
        <f>'01_核心常量'!$D$17</f>
        <v/>
      </c>
      <c r="D15" s="13">
        <f>C15*'01_核心常量'!$D$11</f>
        <v/>
      </c>
      <c r="E15" s="13">
        <f>'01_核心常量'!$D$30/'01_核心常量'!$D$8+'01_核心常量'!$D$9</f>
        <v/>
      </c>
      <c r="F15" s="13">
        <f>E15*'01_核心常量'!$D$10</f>
        <v/>
      </c>
      <c r="G15" s="17">
        <f>F15*'01_核心常量'!$D$11</f>
        <v/>
      </c>
      <c r="H15" s="17">
        <f>F15*'01_核心常量'!$D$20*LOG('01_核心常量'!$D$11,2)*'01_核心常量'!$D$12</f>
        <v/>
      </c>
      <c r="I15" s="15">
        <f>H15/'01_核心常量'!$D$19</f>
        <v/>
      </c>
      <c r="J15" s="13">
        <f>G15*'01_核心常量'!$D$25</f>
        <v/>
      </c>
      <c r="K15" s="14">
        <f>G15*'01_核心常量'!$D$26*(1+'01_核心常量'!$D$38*(A15-1))</f>
        <v/>
      </c>
      <c r="L15" s="13">
        <f>G15*'01_核心常量'!$D$27*(1+'01_核心常量'!$D$38*(A15-1))</f>
        <v/>
      </c>
      <c r="M15" s="9" t="inlineStr">
        <is>
          <t>CV' 应恒定 ≈ 151；小附魔 ≈ 1.5</t>
        </is>
      </c>
    </row>
    <row r="17">
      <c r="A17" s="7" t="inlineStr">
        <is>
          <t>★★【M1 验收标准】CV'/波 与 小附魔/波 两列必须跨档位基本恒定。若出现随关卡单调上升，说明归一化失效，下游经济会重新膨胀。</t>
        </is>
      </c>
    </row>
    <row r="18">
      <c r="A18" s="7" t="inlineStr">
        <is>
          <t>【对照 v0.1】未归一化时 CV/波 从 299 涨到 5,031（17 倍），星核从 25 涨到 604 —— 后期每波能放 40 次战术指令，战斗压力彻底失效。</t>
        </is>
      </c>
    </row>
    <row r="19">
      <c r="A19" s="2" t="inlineStr">
        <is>
          <t>★【最根本的认知】2048 的合成产出是守恒量：每步生成 1 个方块，稳态必然消耗约 0.90 个（实测 0.89–0.94，跨策略差异 &lt;6%）。所以总 CV ≈ 步数 x 生成值 x 常数，与技术水平无关。任何建立在「合成频率 / 合成总量」上的技巧表达都是无效的。</t>
        </is>
      </c>
    </row>
    <row r="20">
      <c r="A20" s="2" t="inlineStr">
        <is>
          <t>★【推论】技巧只能挂在「大数字达成率」上。小附魔频率实测 random 1.87 / greedy 1.99，仅差 6%；而 P(2048) 是 1.3% vs 48%。这就是为什么小附魔必须降频给超载让路。</t>
        </is>
      </c>
    </row>
    <row r="21">
      <c r="A21" s="7" t="inlineStr">
        <is>
          <t>【设计意图】星核/波 目标 20–30，即每波约 0.9 次战术指令。若超过 50，说明玩家能靠指令无限续命，战斗压力失效。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12" customWidth="1" min="4" max="4"/>
    <col width="12" customWidth="1" min="5" max="5"/>
    <col width="10" customWidth="1" min="6" max="6"/>
    <col width="54" customWidth="1" min="7" max="7"/>
    <col width="54" customWidth="1" min="8" max="8"/>
    <col width="16" customWidth="1" min="9" max="9"/>
    <col width="13" customWidth="1" min="10" max="10"/>
  </cols>
  <sheetData>
    <row r="1">
      <c r="A1" s="1" t="inlineStr">
        <is>
          <t>关卡缩放 —— 敌人强度 vs 玩家战力成长（★ v0.2 换用大数字达成率驱动的技术模型）</t>
        </is>
      </c>
    </row>
    <row r="3" ht="30" customHeight="1">
      <c r="A3" s="8" t="inlineStr">
        <is>
          <t>关卡 n</t>
        </is>
      </c>
      <c r="B3" s="8" t="inlineStr">
        <is>
          <t>敌人HP倍率</t>
        </is>
      </c>
      <c r="C3" s="8" t="inlineStr">
        <is>
          <t>敌人伤害倍率</t>
        </is>
      </c>
      <c r="D3" s="8" t="inlineStr">
        <is>
          <t>敌人速度倍率</t>
        </is>
      </c>
      <c r="E3" s="8" t="inlineStr">
        <is>
          <t>关卡收益倍率</t>
        </is>
      </c>
      <c r="F3" s="8" t="inlineStr">
        <is>
          <t>玩家战力倍率</t>
        </is>
      </c>
      <c r="G3" s="8" t="inlineStr">
        <is>
          <t>余量比</t>
        </is>
      </c>
      <c r="H3" s="8" t="inlineStr">
        <is>
          <t>状态</t>
        </is>
      </c>
      <c r="I3" s="8" t="inlineStr">
        <is>
          <t>第5波敌人总HP(估)</t>
        </is>
      </c>
      <c r="J3" s="8" t="inlineStr">
        <is>
          <t>玩家DPS(估)</t>
        </is>
      </c>
    </row>
    <row r="4">
      <c r="A4" s="9" t="n">
        <v>1</v>
      </c>
      <c r="B4" s="15">
        <f>'01_核心常量'!$D$32^(A4-1)*(1+'01_核心常量'!$D$33*(A4-1))</f>
        <v/>
      </c>
      <c r="C4" s="15">
        <f>'01_核心常量'!$D$37^(A4-1)</f>
        <v/>
      </c>
      <c r="D4" s="15">
        <f>1+'01_核心常量'!$D$36*(A4-1)</f>
        <v/>
      </c>
      <c r="E4" s="15" t="n">
        <v>1</v>
      </c>
      <c r="F4" s="18" t="n">
        <v>1</v>
      </c>
      <c r="G4" s="15">
        <f>F4/B4</f>
        <v/>
      </c>
      <c r="H4" s="19">
        <f>IF(G4&gt;1.15,"轻松",IF(G4&gt;0.85,"势均力敌",IF(G4&gt;0.6,"吃力","撞墙")))</f>
        <v/>
      </c>
      <c r="I4" s="14">
        <f>4330*B4</f>
        <v/>
      </c>
      <c r="J4" s="14">
        <f>('01_核心常量'!$D$44*'01_核心常量'!$D$46*'01_核心常量'!$D$45)*F4</f>
        <v/>
      </c>
    </row>
    <row r="5">
      <c r="A5" s="9" t="n">
        <v>2</v>
      </c>
      <c r="B5" s="15">
        <f>'01_核心常量'!$D$32^(A5-1)*(1+'01_核心常量'!$D$33*(A5-1))</f>
        <v/>
      </c>
      <c r="C5" s="15">
        <f>'01_核心常量'!$D$37^(A5-1)</f>
        <v/>
      </c>
      <c r="D5" s="15">
        <f>1+'01_核心常量'!$D$36*(A5-1)</f>
        <v/>
      </c>
      <c r="E5" s="15">
        <f>E4+'01_核心常量'!$D$38+0.1*(A5-2)</f>
        <v/>
      </c>
      <c r="F5" s="18">
        <f>F4*(1+'01_核心常量'!$D$42*'01_核心常量'!$D$43^(A5-2))^'01_核心常量'!$D$41</f>
        <v/>
      </c>
      <c r="G5" s="15">
        <f>F5/B5</f>
        <v/>
      </c>
      <c r="H5" s="19">
        <f>IF(G5&gt;1.15,"轻松",IF(G5&gt;0.85,"势均力敌",IF(G5&gt;0.6,"吃力","撞墙")))</f>
        <v/>
      </c>
      <c r="I5" s="14">
        <f>4330*B5</f>
        <v/>
      </c>
      <c r="J5" s="14">
        <f>('01_核心常量'!$D$44*'01_核心常量'!$D$46*'01_核心常量'!$D$45)*F5</f>
        <v/>
      </c>
    </row>
    <row r="6">
      <c r="A6" s="9" t="n">
        <v>3</v>
      </c>
      <c r="B6" s="15">
        <f>'01_核心常量'!$D$32^(A6-1)*(1+'01_核心常量'!$D$33*(A6-1))</f>
        <v/>
      </c>
      <c r="C6" s="15">
        <f>'01_核心常量'!$D$37^(A6-1)</f>
        <v/>
      </c>
      <c r="D6" s="15">
        <f>1+'01_核心常量'!$D$36*(A6-1)</f>
        <v/>
      </c>
      <c r="E6" s="15">
        <f>E5+'01_核心常量'!$D$38+0.1*(A6-2)</f>
        <v/>
      </c>
      <c r="F6" s="18">
        <f>F5*(1+'01_核心常量'!$D$42*'01_核心常量'!$D$43^(A6-2))^'01_核心常量'!$D$41</f>
        <v/>
      </c>
      <c r="G6" s="15">
        <f>F6/B6</f>
        <v/>
      </c>
      <c r="H6" s="19">
        <f>IF(G6&gt;1.15,"轻松",IF(G6&gt;0.85,"势均力敌",IF(G6&gt;0.6,"吃力","撞墙")))</f>
        <v/>
      </c>
      <c r="I6" s="14">
        <f>4330*B6</f>
        <v/>
      </c>
      <c r="J6" s="14">
        <f>('01_核心常量'!$D$44*'01_核心常量'!$D$46*'01_核心常量'!$D$45)*F6</f>
        <v/>
      </c>
    </row>
    <row r="7">
      <c r="A7" s="9" t="n">
        <v>4</v>
      </c>
      <c r="B7" s="15">
        <f>'01_核心常量'!$D$32^(A7-1)*(1+'01_核心常量'!$D$33*(A7-1))</f>
        <v/>
      </c>
      <c r="C7" s="15">
        <f>'01_核心常量'!$D$37^(A7-1)</f>
        <v/>
      </c>
      <c r="D7" s="15">
        <f>1+'01_核心常量'!$D$36*(A7-1)</f>
        <v/>
      </c>
      <c r="E7" s="15">
        <f>E6+'01_核心常量'!$D$38+0.1*(A7-2)</f>
        <v/>
      </c>
      <c r="F7" s="18">
        <f>F6*(1+'01_核心常量'!$D$42*'01_核心常量'!$D$43^(A7-2))^'01_核心常量'!$D$41</f>
        <v/>
      </c>
      <c r="G7" s="15">
        <f>F7/B7</f>
        <v/>
      </c>
      <c r="H7" s="19">
        <f>IF(G7&gt;1.15,"轻松",IF(G7&gt;0.85,"势均力敌",IF(G7&gt;0.6,"吃力","撞墙")))</f>
        <v/>
      </c>
      <c r="I7" s="14">
        <f>4330*B7</f>
        <v/>
      </c>
      <c r="J7" s="14">
        <f>('01_核心常量'!$D$44*'01_核心常量'!$D$46*'01_核心常量'!$D$45)*F7</f>
        <v/>
      </c>
    </row>
    <row r="8">
      <c r="A8" s="9" t="n">
        <v>5</v>
      </c>
      <c r="B8" s="15">
        <f>'01_核心常量'!$D$32^(A8-1)*(1+'01_核心常量'!$D$33*(A8-1))</f>
        <v/>
      </c>
      <c r="C8" s="15">
        <f>'01_核心常量'!$D$37^(A8-1)</f>
        <v/>
      </c>
      <c r="D8" s="15">
        <f>1+'01_核心常量'!$D$36*(A8-1)</f>
        <v/>
      </c>
      <c r="E8" s="15">
        <f>E7+'01_核心常量'!$D$38+0.1*(A8-2)</f>
        <v/>
      </c>
      <c r="F8" s="18">
        <f>F7*(1+'01_核心常量'!$D$42*'01_核心常量'!$D$43^(A8-2))^'01_核心常量'!$D$41</f>
        <v/>
      </c>
      <c r="G8" s="15">
        <f>F8/B8</f>
        <v/>
      </c>
      <c r="H8" s="19">
        <f>IF(G8&gt;1.15,"轻松",IF(G8&gt;0.85,"势均力敌",IF(G8&gt;0.6,"吃力","撞墙")))</f>
        <v/>
      </c>
      <c r="I8" s="14">
        <f>4330*B8</f>
        <v/>
      </c>
      <c r="J8" s="14">
        <f>('01_核心常量'!$D$44*'01_核心常量'!$D$46*'01_核心常量'!$D$45)*F8</f>
        <v/>
      </c>
    </row>
    <row r="9">
      <c r="A9" s="9" t="n">
        <v>6</v>
      </c>
      <c r="B9" s="15">
        <f>'01_核心常量'!$D$32^(A9-1)*(1+'01_核心常量'!$D$33*(A9-1))</f>
        <v/>
      </c>
      <c r="C9" s="15">
        <f>'01_核心常量'!$D$37^(A9-1)</f>
        <v/>
      </c>
      <c r="D9" s="15">
        <f>1+'01_核心常量'!$D$36*(A9-1)</f>
        <v/>
      </c>
      <c r="E9" s="15">
        <f>E8+'01_核心常量'!$D$38+0.1*(A9-2)</f>
        <v/>
      </c>
      <c r="F9" s="18">
        <f>F8*(1+'01_核心常量'!$D$42*'01_核心常量'!$D$43^(A9-2))^'01_核心常量'!$D$41</f>
        <v/>
      </c>
      <c r="G9" s="15">
        <f>F9/B9</f>
        <v/>
      </c>
      <c r="H9" s="19">
        <f>IF(G9&gt;1.15,"轻松",IF(G9&gt;0.85,"势均力敌",IF(G9&gt;0.6,"吃力","撞墙")))</f>
        <v/>
      </c>
      <c r="I9" s="14">
        <f>4330*B9</f>
        <v/>
      </c>
      <c r="J9" s="14">
        <f>('01_核心常量'!$D$44*'01_核心常量'!$D$46*'01_核心常量'!$D$45)*F9</f>
        <v/>
      </c>
    </row>
    <row r="10">
      <c r="A10" s="9" t="n">
        <v>7</v>
      </c>
      <c r="B10" s="15">
        <f>'01_核心常量'!$D$32^(A10-1)*(1+'01_核心常量'!$D$33*(A10-1))</f>
        <v/>
      </c>
      <c r="C10" s="15">
        <f>'01_核心常量'!$D$37^(A10-1)</f>
        <v/>
      </c>
      <c r="D10" s="15">
        <f>1+'01_核心常量'!$D$36*(A10-1)</f>
        <v/>
      </c>
      <c r="E10" s="15">
        <f>E9+'01_核心常量'!$D$38+0.1*(A10-2)</f>
        <v/>
      </c>
      <c r="F10" s="18">
        <f>F9*(1+'01_核心常量'!$D$42*'01_核心常量'!$D$43^(A10-2))^'01_核心常量'!$D$41</f>
        <v/>
      </c>
      <c r="G10" s="15">
        <f>F10/B10</f>
        <v/>
      </c>
      <c r="H10" s="19">
        <f>IF(G10&gt;1.15,"轻松",IF(G10&gt;0.85,"势均力敌",IF(G10&gt;0.6,"吃力","撞墙")))</f>
        <v/>
      </c>
      <c r="I10" s="14">
        <f>4330*B10</f>
        <v/>
      </c>
      <c r="J10" s="14">
        <f>('01_核心常量'!$D$44*'01_核心常量'!$D$46*'01_核心常量'!$D$45)*F10</f>
        <v/>
      </c>
    </row>
    <row r="11">
      <c r="A11" s="9" t="n">
        <v>8</v>
      </c>
      <c r="B11" s="15">
        <f>'01_核心常量'!$D$32^(A11-1)*(1+'01_核心常量'!$D$33*(A11-1))</f>
        <v/>
      </c>
      <c r="C11" s="15">
        <f>'01_核心常量'!$D$37^(A11-1)</f>
        <v/>
      </c>
      <c r="D11" s="15">
        <f>1+'01_核心常量'!$D$36*(A11-1)</f>
        <v/>
      </c>
      <c r="E11" s="15">
        <f>E10+'01_核心常量'!$D$38+0.1*(A11-2)</f>
        <v/>
      </c>
      <c r="F11" s="18">
        <f>F10*(1+'01_核心常量'!$D$42*'01_核心常量'!$D$43^(A11-2))^'01_核心常量'!$D$41</f>
        <v/>
      </c>
      <c r="G11" s="15">
        <f>F11/B11</f>
        <v/>
      </c>
      <c r="H11" s="19">
        <f>IF(G11&gt;1.15,"轻松",IF(G11&gt;0.85,"势均力敌",IF(G11&gt;0.6,"吃力","撞墙")))</f>
        <v/>
      </c>
      <c r="I11" s="14">
        <f>4330*B11</f>
        <v/>
      </c>
      <c r="J11" s="14">
        <f>('01_核心常量'!$D$44*'01_核心常量'!$D$46*'01_核心常量'!$D$45)*F11</f>
        <v/>
      </c>
    </row>
    <row r="12">
      <c r="A12" s="9" t="n">
        <v>9</v>
      </c>
      <c r="B12" s="15">
        <f>'01_核心常量'!$D$32^(A12-1)*(1+'01_核心常量'!$D$33*(A12-1))</f>
        <v/>
      </c>
      <c r="C12" s="15">
        <f>'01_核心常量'!$D$37^(A12-1)</f>
        <v/>
      </c>
      <c r="D12" s="15">
        <f>1+'01_核心常量'!$D$36*(A12-1)</f>
        <v/>
      </c>
      <c r="E12" s="15">
        <f>E11+'01_核心常量'!$D$38+0.1*(A12-2)</f>
        <v/>
      </c>
      <c r="F12" s="18">
        <f>F11*(1+'01_核心常量'!$D$42*'01_核心常量'!$D$43^(A12-2))^'01_核心常量'!$D$41</f>
        <v/>
      </c>
      <c r="G12" s="15">
        <f>F12/B12</f>
        <v/>
      </c>
      <c r="H12" s="19">
        <f>IF(G12&gt;1.15,"轻松",IF(G12&gt;0.85,"势均力敌",IF(G12&gt;0.6,"吃力","撞墙")))</f>
        <v/>
      </c>
      <c r="I12" s="14">
        <f>4330*B12</f>
        <v/>
      </c>
      <c r="J12" s="14">
        <f>('01_核心常量'!$D$44*'01_核心常量'!$D$46*'01_核心常量'!$D$45)*F12</f>
        <v/>
      </c>
    </row>
    <row r="13">
      <c r="A13" s="9" t="n">
        <v>10</v>
      </c>
      <c r="B13" s="15">
        <f>'01_核心常量'!$D$32^(A13-1)*(1+'01_核心常量'!$D$33*(A13-1))</f>
        <v/>
      </c>
      <c r="C13" s="15">
        <f>'01_核心常量'!$D$37^(A13-1)</f>
        <v/>
      </c>
      <c r="D13" s="15">
        <f>1+'01_核心常量'!$D$36*(A13-1)</f>
        <v/>
      </c>
      <c r="E13" s="15">
        <f>E12+'01_核心常量'!$D$38+0.1*(A13-2)</f>
        <v/>
      </c>
      <c r="F13" s="18">
        <f>F12*(1+'01_核心常量'!$D$42*'01_核心常量'!$D$43^(A13-2))^'01_核心常量'!$D$41</f>
        <v/>
      </c>
      <c r="G13" s="15">
        <f>F13/B13</f>
        <v/>
      </c>
      <c r="H13" s="19">
        <f>IF(G13&gt;1.15,"轻松",IF(G13&gt;0.85,"势均力敌",IF(G13&gt;0.6,"吃力","撞墙")))</f>
        <v/>
      </c>
      <c r="I13" s="14">
        <f>4330*B13</f>
        <v/>
      </c>
      <c r="J13" s="14">
        <f>('01_核心常量'!$D$44*'01_核心常量'!$D$46*'01_核心常量'!$D$45)*F13</f>
        <v/>
      </c>
    </row>
    <row r="14">
      <c r="A14" s="9" t="n">
        <v>11</v>
      </c>
      <c r="B14" s="15">
        <f>'01_核心常量'!$D$32^(A14-1)*(1+'01_核心常量'!$D$33*(A14-1))</f>
        <v/>
      </c>
      <c r="C14" s="15">
        <f>'01_核心常量'!$D$37^(A14-1)</f>
        <v/>
      </c>
      <c r="D14" s="15">
        <f>1+'01_核心常量'!$D$36*(A14-1)</f>
        <v/>
      </c>
      <c r="E14" s="15">
        <f>E13+'01_核心常量'!$D$38+0.1*(A14-2)</f>
        <v/>
      </c>
      <c r="F14" s="18">
        <f>F13*(1+'01_核心常量'!$D$42*'01_核心常量'!$D$43^(A14-2))^'01_核心常量'!$D$41</f>
        <v/>
      </c>
      <c r="G14" s="15">
        <f>F14/B14</f>
        <v/>
      </c>
      <c r="H14" s="19">
        <f>IF(G14&gt;1.15,"轻松",IF(G14&gt;0.85,"势均力敌",IF(G14&gt;0.6,"吃力","撞墙")))</f>
        <v/>
      </c>
      <c r="I14" s="14">
        <f>4330*B14</f>
        <v/>
      </c>
      <c r="J14" s="14">
        <f>('01_核心常量'!$D$44*'01_核心常量'!$D$46*'01_核心常量'!$D$45)*F14</f>
        <v/>
      </c>
    </row>
    <row r="15">
      <c r="A15" s="9" t="n">
        <v>12</v>
      </c>
      <c r="B15" s="15">
        <f>'01_核心常量'!$D$32^(A15-1)*(1+'01_核心常量'!$D$33*(A15-1))</f>
        <v/>
      </c>
      <c r="C15" s="15">
        <f>'01_核心常量'!$D$37^(A15-1)</f>
        <v/>
      </c>
      <c r="D15" s="15">
        <f>1+'01_核心常量'!$D$36*(A15-1)</f>
        <v/>
      </c>
      <c r="E15" s="15">
        <f>E14+'01_核心常量'!$D$38+0.1*(A15-2)</f>
        <v/>
      </c>
      <c r="F15" s="18">
        <f>F14*(1+'01_核心常量'!$D$42*'01_核心常量'!$D$43^(A15-2))^'01_核心常量'!$D$41</f>
        <v/>
      </c>
      <c r="G15" s="15">
        <f>F15/B15</f>
        <v/>
      </c>
      <c r="H15" s="19">
        <f>IF(G15&gt;1.15,"轻松",IF(G15&gt;0.85,"势均力敌",IF(G15&gt;0.6,"吃力","撞墙")))</f>
        <v/>
      </c>
      <c r="I15" s="14">
        <f>4330*B15</f>
        <v/>
      </c>
      <c r="J15" s="14">
        <f>('01_核心常量'!$D$44*'01_核心常量'!$D$46*'01_核心常量'!$D$45)*F15</f>
        <v/>
      </c>
    </row>
    <row r="16">
      <c r="A16" s="9" t="n">
        <v>13</v>
      </c>
      <c r="B16" s="15">
        <f>'01_核心常量'!$D$32^(A16-1)*(1+'01_核心常量'!$D$33*(A16-1))</f>
        <v/>
      </c>
      <c r="C16" s="15">
        <f>'01_核心常量'!$D$37^(A16-1)</f>
        <v/>
      </c>
      <c r="D16" s="15">
        <f>1+'01_核心常量'!$D$36*(A16-1)</f>
        <v/>
      </c>
      <c r="E16" s="15">
        <f>E15+'01_核心常量'!$D$38+0.1*(A16-2)</f>
        <v/>
      </c>
      <c r="F16" s="18">
        <f>F15*(1+'01_核心常量'!$D$42*'01_核心常量'!$D$43^(A16-2))^'01_核心常量'!$D$41</f>
        <v/>
      </c>
      <c r="G16" s="15">
        <f>F16/B16</f>
        <v/>
      </c>
      <c r="H16" s="19">
        <f>IF(G16&gt;1.15,"轻松",IF(G16&gt;0.85,"势均力敌",IF(G16&gt;0.6,"吃力","撞墙")))</f>
        <v/>
      </c>
      <c r="I16" s="14">
        <f>4330*B16</f>
        <v/>
      </c>
      <c r="J16" s="14">
        <f>('01_核心常量'!$D$44*'01_核心常量'!$D$46*'01_核心常量'!$D$45)*F16</f>
        <v/>
      </c>
    </row>
    <row r="17">
      <c r="A17" s="9" t="n">
        <v>14</v>
      </c>
      <c r="B17" s="15">
        <f>'01_核心常量'!$D$32^(A17-1)*(1+'01_核心常量'!$D$33*(A17-1))</f>
        <v/>
      </c>
      <c r="C17" s="15">
        <f>'01_核心常量'!$D$37^(A17-1)</f>
        <v/>
      </c>
      <c r="D17" s="15">
        <f>1+'01_核心常量'!$D$36*(A17-1)</f>
        <v/>
      </c>
      <c r="E17" s="15">
        <f>E16+'01_核心常量'!$D$38+0.1*(A17-2)</f>
        <v/>
      </c>
      <c r="F17" s="18">
        <f>F16*(1+'01_核心常量'!$D$42*'01_核心常量'!$D$43^(A17-2))^'01_核心常量'!$D$41</f>
        <v/>
      </c>
      <c r="G17" s="15">
        <f>F17/B17</f>
        <v/>
      </c>
      <c r="H17" s="19">
        <f>IF(G17&gt;1.15,"轻松",IF(G17&gt;0.85,"势均力敌",IF(G17&gt;0.6,"吃力","撞墙")))</f>
        <v/>
      </c>
      <c r="I17" s="14">
        <f>4330*B17</f>
        <v/>
      </c>
      <c r="J17" s="14">
        <f>('01_核心常量'!$D$44*'01_核心常量'!$D$46*'01_核心常量'!$D$45)*F17</f>
        <v/>
      </c>
    </row>
    <row r="18">
      <c r="A18" s="9" t="n">
        <v>15</v>
      </c>
      <c r="B18" s="15">
        <f>'01_核心常量'!$D$32^(A18-1)*(1+'01_核心常量'!$D$33*(A18-1))</f>
        <v/>
      </c>
      <c r="C18" s="15">
        <f>'01_核心常量'!$D$37^(A18-1)</f>
        <v/>
      </c>
      <c r="D18" s="15">
        <f>1+'01_核心常量'!$D$36*(A18-1)</f>
        <v/>
      </c>
      <c r="E18" s="15">
        <f>E17+'01_核心常量'!$D$38+0.1*(A18-2)</f>
        <v/>
      </c>
      <c r="F18" s="18">
        <f>F17*(1+'01_核心常量'!$D$42*'01_核心常量'!$D$43^(A18-2))^'01_核心常量'!$D$41</f>
        <v/>
      </c>
      <c r="G18" s="15">
        <f>F18/B18</f>
        <v/>
      </c>
      <c r="H18" s="19">
        <f>IF(G18&gt;1.15,"轻松",IF(G18&gt;0.85,"势均力敌",IF(G18&gt;0.6,"吃力","撞墙")))</f>
        <v/>
      </c>
      <c r="I18" s="14">
        <f>4330*B18</f>
        <v/>
      </c>
      <c r="J18" s="14">
        <f>('01_核心常量'!$D$44*'01_核心常量'!$D$46*'01_核心常量'!$D$45)*F18</f>
        <v/>
      </c>
    </row>
    <row r="20">
      <c r="A20" s="7" t="inlineStr">
        <is>
          <t>【余量比判读】&gt;1.15 轻松 / 0.85–1.15 势均力敌 / 0.6–0.85 吃力 / &lt;0.6 撞墙。</t>
        </is>
      </c>
    </row>
    <row r="21">
      <c r="A21" s="7" t="inlineStr">
        <is>
          <t>★ 余量比只是 DPS 上限，是乐观估计。玩家真正的死因不是「打不动」，而是「漏过去的敌人把星枢打爆」。必须用下面的漏怪模型判定实际死亡关卡。</t>
        </is>
      </c>
    </row>
    <row r="23">
      <c r="A23" s="3" t="inlineStr">
        <is>
          <t>技术系数模型（★ v0.2 重写）</t>
        </is>
      </c>
    </row>
    <row r="24" ht="30" customHeight="1">
      <c r="A24" s="8" t="inlineStr">
        <is>
          <t>参数</t>
        </is>
      </c>
      <c r="B24" s="8" t="inlineStr">
        <is>
          <t>值</t>
        </is>
      </c>
      <c r="C24" s="8" t="inlineStr">
        <is>
          <t>说明</t>
        </is>
      </c>
    </row>
    <row r="25">
      <c r="A25" s="9" t="inlineStr">
        <is>
          <t>新手 技术系数</t>
        </is>
      </c>
      <c r="B25" s="18">
        <f>(1-'01_核心常量'!$D$50)+'01_核心常量'!$D$50*((1-'01_核心常量'!$D$51)*'01_核心常量'!$D$55+'01_核心常量'!$D$51*'01_核心常量'!$D$52)</f>
        <v/>
      </c>
      <c r="C25" s="9" t="inlineStr">
        <is>
          <t>超载次数比 0.33（random 策略实测）</t>
        </is>
      </c>
    </row>
    <row r="26">
      <c r="A26" s="9" t="inlineStr">
        <is>
          <t>中等 技术系数</t>
        </is>
      </c>
      <c r="B26" s="18">
        <f>(1-'01_核心常量'!$D$50)+'01_核心常量'!$D$50*((1-'01_核心常量'!$D$51)*'01_核心常量'!$D$55+'01_核心常量'!$D$51*'01_核心常量'!$D$53)</f>
        <v/>
      </c>
      <c r="C26" s="9" t="inlineStr">
        <is>
          <t>超载次数比 0.60</t>
        </is>
      </c>
    </row>
    <row r="27">
      <c r="A27" s="9" t="inlineStr">
        <is>
          <t>高手 技术系数</t>
        </is>
      </c>
      <c r="B27" s="18">
        <f>(1-'01_核心常量'!$D$50)+'01_核心常量'!$D$50*((1-'01_核心常量'!$D$51)*'01_核心常量'!$D$55+'01_核心常量'!$D$51*'01_核心常量'!$D$54)</f>
        <v/>
      </c>
      <c r="C27" s="9" t="inlineStr">
        <is>
          <t>超载次数比 1.00（基准）</t>
        </is>
      </c>
    </row>
    <row r="28">
      <c r="A28" s="9" t="inlineStr">
        <is>
          <t>技术回报（高手 ÷ 新手）</t>
        </is>
      </c>
      <c r="B28" s="20">
        <f>$B$27/$B$25</f>
        <v/>
      </c>
      <c r="C28" s="9" t="inlineStr">
        <is>
          <t>★ v0.1 假设 1.65x，实测修正后约 1.31x。原因是植物（40%）与小附魔（24%）都不随技术变化，稀释了超载的贡献。</t>
        </is>
      </c>
    </row>
    <row r="30">
      <c r="A30" s="2" t="inlineStr">
        <is>
          <t>★【v0.2 文档勘误】GDD v0.2 §1 M3 写的「总技术回报 1.62x」是错的 —— 它把「超载占附魔 60%」误当成「超载占总输出 60%」代入公式。正确值见上表，约 1.31x。</t>
        </is>
      </c>
    </row>
    <row r="31">
      <c r="A31" s="7" t="inlineStr">
        <is>
          <t>【技术模型结构】总输出 = 植物 40%（技术无关）+ 小附魔 24%（技术无关，倍率 1.05）+ 超载 36%（技术强相关）。要让技术回报继续上升，只能提高 OVER_SHARE 或 ENCH_SHARE，代价是植物存在感进一步下降。</t>
        </is>
      </c>
    </row>
    <row r="33">
      <c r="A33" s="3" t="inlineStr">
        <is>
          <t>漏怪预算模型 —— 真实死亡关卡判定</t>
        </is>
      </c>
    </row>
    <row r="34">
      <c r="A34" s="7" t="inlineStr">
        <is>
          <t>逻辑：当余量比 x 技术系数 x 养成系数 &lt; 1 时，缺口比例的敌人会漏过防线；漏怪数 x 敌人伤害 &gt; 星枢 HP 即阵亡。</t>
        </is>
      </c>
    </row>
    <row r="35" ht="30" customHeight="1">
      <c r="A35" s="8" t="inlineStr">
        <is>
          <t>关卡 n</t>
        </is>
      </c>
      <c r="B35" s="8" t="inlineStr">
        <is>
          <t>余量比(基准)</t>
        </is>
      </c>
      <c r="C35" s="8" t="inlineStr">
        <is>
          <t>可承受漏怪数</t>
        </is>
      </c>
      <c r="D35" s="8" t="inlineStr">
        <is>
          <t>新手</t>
        </is>
      </c>
      <c r="E35" s="8" t="inlineStr">
        <is>
          <t>中等</t>
        </is>
      </c>
      <c r="F35" s="8" t="inlineStr">
        <is>
          <t>高手</t>
        </is>
      </c>
      <c r="G35" s="8" t="inlineStr">
        <is>
          <t>满养成高手</t>
        </is>
      </c>
    </row>
    <row r="36">
      <c r="A36" s="9" t="n">
        <v>1</v>
      </c>
      <c r="B36" s="15">
        <f>G4</f>
        <v/>
      </c>
      <c r="C36" s="13">
        <f>'01_核心常量'!$D$39/('01_核心常量'!$D$35*'01_核心常量'!$D$37^(A36-1))</f>
        <v/>
      </c>
      <c r="D36" s="19">
        <f>IF('01_核心常量'!$D$34*MAX(0,1-B36*$B$25*1)&lt;C36,"存活","阵亡")</f>
        <v/>
      </c>
      <c r="E36" s="19">
        <f>IF('01_核心常量'!$D$34*MAX(0,1-B36*$B$26*1)&lt;C36,"存活","阵亡")</f>
        <v/>
      </c>
      <c r="F36" s="19">
        <f>IF('01_核心常量'!$D$34*MAX(0,1-B36*$B$27*1)&lt;C36,"存活","阵亡")</f>
        <v/>
      </c>
      <c r="G36" s="19">
        <f>IF('01_核心常量'!$D$34*MAX(0,1-B36*$B$27*'01_核心常量'!$D$58)&lt;C36,"存活","阵亡")</f>
        <v/>
      </c>
    </row>
    <row r="37">
      <c r="A37" s="9" t="n">
        <v>2</v>
      </c>
      <c r="B37" s="15">
        <f>G5</f>
        <v/>
      </c>
      <c r="C37" s="13">
        <f>'01_核心常量'!$D$39/('01_核心常量'!$D$35*'01_核心常量'!$D$37^(A37-1))</f>
        <v/>
      </c>
      <c r="D37" s="19">
        <f>IF('01_核心常量'!$D$34*MAX(0,1-B37*$B$25*1)&lt;C37,"存活","阵亡")</f>
        <v/>
      </c>
      <c r="E37" s="19">
        <f>IF('01_核心常量'!$D$34*MAX(0,1-B37*$B$26*1)&lt;C37,"存活","阵亡")</f>
        <v/>
      </c>
      <c r="F37" s="19">
        <f>IF('01_核心常量'!$D$34*MAX(0,1-B37*$B$27*1)&lt;C37,"存活","阵亡")</f>
        <v/>
      </c>
      <c r="G37" s="19">
        <f>IF('01_核心常量'!$D$34*MAX(0,1-B37*$B$27*'01_核心常量'!$D$58)&lt;C37,"存活","阵亡")</f>
        <v/>
      </c>
    </row>
    <row r="38">
      <c r="A38" s="9" t="n">
        <v>3</v>
      </c>
      <c r="B38" s="15">
        <f>G6</f>
        <v/>
      </c>
      <c r="C38" s="13">
        <f>'01_核心常量'!$D$39/('01_核心常量'!$D$35*'01_核心常量'!$D$37^(A38-1))</f>
        <v/>
      </c>
      <c r="D38" s="19">
        <f>IF('01_核心常量'!$D$34*MAX(0,1-B38*$B$25*1)&lt;C38,"存活","阵亡")</f>
        <v/>
      </c>
      <c r="E38" s="19">
        <f>IF('01_核心常量'!$D$34*MAX(0,1-B38*$B$26*1)&lt;C38,"存活","阵亡")</f>
        <v/>
      </c>
      <c r="F38" s="19">
        <f>IF('01_核心常量'!$D$34*MAX(0,1-B38*$B$27*1)&lt;C38,"存活","阵亡")</f>
        <v/>
      </c>
      <c r="G38" s="19">
        <f>IF('01_核心常量'!$D$34*MAX(0,1-B38*$B$27*'01_核心常量'!$D$58)&lt;C38,"存活","阵亡")</f>
        <v/>
      </c>
    </row>
    <row r="39">
      <c r="A39" s="9" t="n">
        <v>4</v>
      </c>
      <c r="B39" s="15">
        <f>G7</f>
        <v/>
      </c>
      <c r="C39" s="13">
        <f>'01_核心常量'!$D$39/('01_核心常量'!$D$35*'01_核心常量'!$D$37^(A39-1))</f>
        <v/>
      </c>
      <c r="D39" s="19">
        <f>IF('01_核心常量'!$D$34*MAX(0,1-B39*$B$25*1)&lt;C39,"存活","阵亡")</f>
        <v/>
      </c>
      <c r="E39" s="19">
        <f>IF('01_核心常量'!$D$34*MAX(0,1-B39*$B$26*1)&lt;C39,"存活","阵亡")</f>
        <v/>
      </c>
      <c r="F39" s="19">
        <f>IF('01_核心常量'!$D$34*MAX(0,1-B39*$B$27*1)&lt;C39,"存活","阵亡")</f>
        <v/>
      </c>
      <c r="G39" s="19">
        <f>IF('01_核心常量'!$D$34*MAX(0,1-B39*$B$27*'01_核心常量'!$D$58)&lt;C39,"存活","阵亡")</f>
        <v/>
      </c>
    </row>
    <row r="40">
      <c r="A40" s="9" t="n">
        <v>5</v>
      </c>
      <c r="B40" s="15">
        <f>G8</f>
        <v/>
      </c>
      <c r="C40" s="13">
        <f>'01_核心常量'!$D$39/('01_核心常量'!$D$35*'01_核心常量'!$D$37^(A40-1))</f>
        <v/>
      </c>
      <c r="D40" s="19">
        <f>IF('01_核心常量'!$D$34*MAX(0,1-B40*$B$25*1)&lt;C40,"存活","阵亡")</f>
        <v/>
      </c>
      <c r="E40" s="19">
        <f>IF('01_核心常量'!$D$34*MAX(0,1-B40*$B$26*1)&lt;C40,"存活","阵亡")</f>
        <v/>
      </c>
      <c r="F40" s="19">
        <f>IF('01_核心常量'!$D$34*MAX(0,1-B40*$B$27*1)&lt;C40,"存活","阵亡")</f>
        <v/>
      </c>
      <c r="G40" s="19">
        <f>IF('01_核心常量'!$D$34*MAX(0,1-B40*$B$27*'01_核心常量'!$D$58)&lt;C40,"存活","阵亡")</f>
        <v/>
      </c>
    </row>
    <row r="41">
      <c r="A41" s="9" t="n">
        <v>6</v>
      </c>
      <c r="B41" s="15">
        <f>G9</f>
        <v/>
      </c>
      <c r="C41" s="13">
        <f>'01_核心常量'!$D$39/('01_核心常量'!$D$35*'01_核心常量'!$D$37^(A41-1))</f>
        <v/>
      </c>
      <c r="D41" s="19">
        <f>IF('01_核心常量'!$D$34*MAX(0,1-B41*$B$25*1)&lt;C41,"存活","阵亡")</f>
        <v/>
      </c>
      <c r="E41" s="19">
        <f>IF('01_核心常量'!$D$34*MAX(0,1-B41*$B$26*1)&lt;C41,"存活","阵亡")</f>
        <v/>
      </c>
      <c r="F41" s="19">
        <f>IF('01_核心常量'!$D$34*MAX(0,1-B41*$B$27*1)&lt;C41,"存活","阵亡")</f>
        <v/>
      </c>
      <c r="G41" s="19">
        <f>IF('01_核心常量'!$D$34*MAX(0,1-B41*$B$27*'01_核心常量'!$D$58)&lt;C41,"存活","阵亡")</f>
        <v/>
      </c>
    </row>
    <row r="42">
      <c r="A42" s="9" t="n">
        <v>7</v>
      </c>
      <c r="B42" s="15">
        <f>G10</f>
        <v/>
      </c>
      <c r="C42" s="13">
        <f>'01_核心常量'!$D$39/('01_核心常量'!$D$35*'01_核心常量'!$D$37^(A42-1))</f>
        <v/>
      </c>
      <c r="D42" s="19">
        <f>IF('01_核心常量'!$D$34*MAX(0,1-B42*$B$25*1)&lt;C42,"存活","阵亡")</f>
        <v/>
      </c>
      <c r="E42" s="19">
        <f>IF('01_核心常量'!$D$34*MAX(0,1-B42*$B$26*1)&lt;C42,"存活","阵亡")</f>
        <v/>
      </c>
      <c r="F42" s="19">
        <f>IF('01_核心常量'!$D$34*MAX(0,1-B42*$B$27*1)&lt;C42,"存活","阵亡")</f>
        <v/>
      </c>
      <c r="G42" s="19">
        <f>IF('01_核心常量'!$D$34*MAX(0,1-B42*$B$27*'01_核心常量'!$D$58)&lt;C42,"存活","阵亡")</f>
        <v/>
      </c>
    </row>
    <row r="43">
      <c r="A43" s="9" t="n">
        <v>8</v>
      </c>
      <c r="B43" s="15">
        <f>G11</f>
        <v/>
      </c>
      <c r="C43" s="13">
        <f>'01_核心常量'!$D$39/('01_核心常量'!$D$35*'01_核心常量'!$D$37^(A43-1))</f>
        <v/>
      </c>
      <c r="D43" s="19">
        <f>IF('01_核心常量'!$D$34*MAX(0,1-B43*$B$25*1)&lt;C43,"存活","阵亡")</f>
        <v/>
      </c>
      <c r="E43" s="19">
        <f>IF('01_核心常量'!$D$34*MAX(0,1-B43*$B$26*1)&lt;C43,"存活","阵亡")</f>
        <v/>
      </c>
      <c r="F43" s="19">
        <f>IF('01_核心常量'!$D$34*MAX(0,1-B43*$B$27*1)&lt;C43,"存活","阵亡")</f>
        <v/>
      </c>
      <c r="G43" s="19">
        <f>IF('01_核心常量'!$D$34*MAX(0,1-B43*$B$27*'01_核心常量'!$D$58)&lt;C43,"存活","阵亡")</f>
        <v/>
      </c>
    </row>
    <row r="44">
      <c r="A44" s="9" t="n">
        <v>9</v>
      </c>
      <c r="B44" s="15">
        <f>G12</f>
        <v/>
      </c>
      <c r="C44" s="13">
        <f>'01_核心常量'!$D$39/('01_核心常量'!$D$35*'01_核心常量'!$D$37^(A44-1))</f>
        <v/>
      </c>
      <c r="D44" s="19">
        <f>IF('01_核心常量'!$D$34*MAX(0,1-B44*$B$25*1)&lt;C44,"存活","阵亡")</f>
        <v/>
      </c>
      <c r="E44" s="19">
        <f>IF('01_核心常量'!$D$34*MAX(0,1-B44*$B$26*1)&lt;C44,"存活","阵亡")</f>
        <v/>
      </c>
      <c r="F44" s="19">
        <f>IF('01_核心常量'!$D$34*MAX(0,1-B44*$B$27*1)&lt;C44,"存活","阵亡")</f>
        <v/>
      </c>
      <c r="G44" s="19">
        <f>IF('01_核心常量'!$D$34*MAX(0,1-B44*$B$27*'01_核心常量'!$D$58)&lt;C44,"存活","阵亡")</f>
        <v/>
      </c>
    </row>
    <row r="45">
      <c r="A45" s="9" t="n">
        <v>10</v>
      </c>
      <c r="B45" s="15">
        <f>G13</f>
        <v/>
      </c>
      <c r="C45" s="13">
        <f>'01_核心常量'!$D$39/('01_核心常量'!$D$35*'01_核心常量'!$D$37^(A45-1))</f>
        <v/>
      </c>
      <c r="D45" s="19">
        <f>IF('01_核心常量'!$D$34*MAX(0,1-B45*$B$25*1)&lt;C45,"存活","阵亡")</f>
        <v/>
      </c>
      <c r="E45" s="19">
        <f>IF('01_核心常量'!$D$34*MAX(0,1-B45*$B$26*1)&lt;C45,"存活","阵亡")</f>
        <v/>
      </c>
      <c r="F45" s="19">
        <f>IF('01_核心常量'!$D$34*MAX(0,1-B45*$B$27*1)&lt;C45,"存活","阵亡")</f>
        <v/>
      </c>
      <c r="G45" s="19">
        <f>IF('01_核心常量'!$D$34*MAX(0,1-B45*$B$27*'01_核心常量'!$D$58)&lt;C45,"存活","阵亡")</f>
        <v/>
      </c>
    </row>
    <row r="46">
      <c r="A46" s="9" t="n">
        <v>11</v>
      </c>
      <c r="B46" s="15">
        <f>G14</f>
        <v/>
      </c>
      <c r="C46" s="13">
        <f>'01_核心常量'!$D$39/('01_核心常量'!$D$35*'01_核心常量'!$D$37^(A46-1))</f>
        <v/>
      </c>
      <c r="D46" s="19">
        <f>IF('01_核心常量'!$D$34*MAX(0,1-B46*$B$25*1)&lt;C46,"存活","阵亡")</f>
        <v/>
      </c>
      <c r="E46" s="19">
        <f>IF('01_核心常量'!$D$34*MAX(0,1-B46*$B$26*1)&lt;C46,"存活","阵亡")</f>
        <v/>
      </c>
      <c r="F46" s="19">
        <f>IF('01_核心常量'!$D$34*MAX(0,1-B46*$B$27*1)&lt;C46,"存活","阵亡")</f>
        <v/>
      </c>
      <c r="G46" s="19">
        <f>IF('01_核心常量'!$D$34*MAX(0,1-B46*$B$27*'01_核心常量'!$D$58)&lt;C46,"存活","阵亡")</f>
        <v/>
      </c>
    </row>
    <row r="47">
      <c r="A47" s="9" t="n">
        <v>12</v>
      </c>
      <c r="B47" s="15">
        <f>G15</f>
        <v/>
      </c>
      <c r="C47" s="13">
        <f>'01_核心常量'!$D$39/('01_核心常量'!$D$35*'01_核心常量'!$D$37^(A47-1))</f>
        <v/>
      </c>
      <c r="D47" s="19">
        <f>IF('01_核心常量'!$D$34*MAX(0,1-B47*$B$25*1)&lt;C47,"存活","阵亡")</f>
        <v/>
      </c>
      <c r="E47" s="19">
        <f>IF('01_核心常量'!$D$34*MAX(0,1-B47*$B$26*1)&lt;C47,"存活","阵亡")</f>
        <v/>
      </c>
      <c r="F47" s="19">
        <f>IF('01_核心常量'!$D$34*MAX(0,1-B47*$B$27*1)&lt;C47,"存活","阵亡")</f>
        <v/>
      </c>
      <c r="G47" s="19">
        <f>IF('01_核心常量'!$D$34*MAX(0,1-B47*$B$27*'01_核心常量'!$D$58)&lt;C47,"存活","阵亡")</f>
        <v/>
      </c>
    </row>
    <row r="49">
      <c r="A49" s="7" t="inlineStr">
        <is>
          <t>【模型输出（HP_BASE=1.55，v0.2 技术模型）】新手 4 关 / 中等 5 关 / 高手 6 关 / 满养成高手 9 关。对比 v0.1 的 3/6/7/9 —— 高手端下移 1 关，因为 v0.2 高估的技术回报被修正掉了。</t>
        </is>
      </c>
    </row>
    <row r="50">
      <c r="A50" s="7" t="inlineStr">
        <is>
          <t>【调参方向】若希望高手回到 7 关：把 HP_BASE 降到 1.50，或提高 OVER_SHARE 至 0.70（代价是植物存在感下降）。若新手 4 关仍挫败：前 2 关波次时长 +10s。</t>
        </is>
      </c>
    </row>
    <row r="52">
      <c r="A52" s="3" t="inlineStr">
        <is>
          <t>敌人基准（第 1 关）★ v0.2 全量重算</t>
        </is>
      </c>
    </row>
    <row r="53" ht="30" customHeight="1">
      <c r="A53" s="8" t="inlineStr">
        <is>
          <t>类型</t>
        </is>
      </c>
      <c r="B53" s="8" t="inlineStr">
        <is>
          <t>HP</t>
        </is>
      </c>
      <c r="C53" s="8" t="inlineStr">
        <is>
          <t>v0.1 旧值</t>
        </is>
      </c>
      <c r="D53" s="8" t="inlineStr">
        <is>
          <t>速度(格/秒)</t>
        </is>
      </c>
      <c r="E53" s="8" t="inlineStr">
        <is>
          <t>撞星枢伤害</t>
        </is>
      </c>
      <c r="F53" s="8" t="inlineStr">
        <is>
          <t>护甲</t>
        </is>
      </c>
      <c r="G53" s="8" t="inlineStr">
        <is>
          <t>掉落材料</t>
        </is>
      </c>
      <c r="H53" s="8" t="inlineStr">
        <is>
          <t>设计目的</t>
        </is>
      </c>
    </row>
    <row r="54">
      <c r="A54" s="9" t="inlineStr">
        <is>
          <t>小兵 Grunt</t>
        </is>
      </c>
      <c r="B54" s="9" t="n">
        <v>95</v>
      </c>
      <c r="C54" s="9" t="n">
        <v>40</v>
      </c>
      <c r="D54" s="9" t="n">
        <v>0.35</v>
      </c>
      <c r="E54" s="9" t="n">
        <v>5</v>
      </c>
      <c r="F54" s="9" t="n">
        <v>0</v>
      </c>
      <c r="G54" s="9" t="n">
        <v>0</v>
      </c>
      <c r="H54" s="11" t="inlineStr">
        <is>
          <t>基准单位。v0.1 的 40 在植物 DPS 腰斩后会被瞬秒。</t>
        </is>
      </c>
    </row>
    <row r="55">
      <c r="A55" s="9" t="inlineStr">
        <is>
          <t>群聚 Swarm</t>
        </is>
      </c>
      <c r="B55" s="9" t="n">
        <v>25</v>
      </c>
      <c r="C55" s="9" t="n">
        <v>12</v>
      </c>
      <c r="D55" s="9" t="n">
        <v>0.5</v>
      </c>
      <c r="E55" s="9" t="n">
        <v>2</v>
      </c>
      <c r="F55" s="9" t="n">
        <v>0</v>
      </c>
      <c r="G55" s="9" t="n">
        <v>0</v>
      </c>
      <c r="H55" s="11" t="inlineStr">
        <is>
          <t>惩罚单体流，奖励火元素（AoE 均分）。</t>
        </is>
      </c>
    </row>
    <row r="56">
      <c r="A56" s="9" t="inlineStr">
        <is>
          <t>迅捷 Swift</t>
        </is>
      </c>
      <c r="B56" s="9" t="n">
        <v>85</v>
      </c>
      <c r="C56" s="9" t="n">
        <v>22</v>
      </c>
      <c r="D56" s="9" t="n">
        <v>0.75</v>
      </c>
      <c r="E56" s="9" t="n">
        <v>3</v>
      </c>
      <c r="F56" s="9" t="n">
        <v>0</v>
      </c>
      <c r="G56" s="9" t="n">
        <v>0</v>
      </c>
      <c r="H56" s="11" t="inlineStr">
        <is>
          <t>★ v0.1 的 22 严重偏低，构不成时间压力。</t>
        </is>
      </c>
    </row>
    <row r="57">
      <c r="A57" s="9" t="inlineStr">
        <is>
          <t>重甲 Armor</t>
        </is>
      </c>
      <c r="B57" s="9" t="n">
        <v>190</v>
      </c>
      <c r="C57" s="9" t="n">
        <v>140</v>
      </c>
      <c r="D57" s="9" t="n">
        <v>0.22</v>
      </c>
      <c r="E57" s="9" t="n">
        <v>12</v>
      </c>
      <c r="F57" s="9" t="n">
        <v>0.3</v>
      </c>
      <c r="G57" s="9" t="n">
        <v>0</v>
      </c>
      <c r="H57" s="11" t="inlineStr">
        <is>
          <t>惩罚穿透/破甲不足，奖励雷元素（集中伤害）。</t>
        </is>
      </c>
    </row>
    <row r="58">
      <c r="A58" s="9" t="inlineStr">
        <is>
          <t>破坏者 Breaker</t>
        </is>
      </c>
      <c r="B58" s="9" t="n">
        <v>200</v>
      </c>
      <c r="C58" s="9" t="n">
        <v>200</v>
      </c>
      <c r="D58" s="9" t="n">
        <v>0.3</v>
      </c>
      <c r="E58" s="9" t="n">
        <v>15</v>
      </c>
      <c r="F58" s="9" t="n">
        <v>0.1</v>
      </c>
      <c r="G58" s="9" t="n">
        <v>0</v>
      </c>
      <c r="H58" s="11" t="inlineStr">
        <is>
          <t>攻击并摧毁植物格，惩罚固守不动的编队。</t>
        </is>
      </c>
    </row>
    <row r="59">
      <c r="A59" s="9" t="inlineStr">
        <is>
          <t>精英 Elite</t>
        </is>
      </c>
      <c r="B59" s="9" t="n">
        <v>450</v>
      </c>
      <c r="C59" s="9" t="n">
        <v>400</v>
      </c>
      <c r="D59" s="9" t="n">
        <v>0.28</v>
      </c>
      <c r="E59" s="9" t="n">
        <v>25</v>
      </c>
      <c r="F59" s="9" t="n">
        <v>0.15</v>
      </c>
      <c r="G59" s="9" t="inlineStr">
        <is>
          <t>1–2</t>
        </is>
      </c>
      <c r="H59" s="11" t="inlineStr">
        <is>
          <t>携带元素护盾，检验玩家的轮盘编排。</t>
        </is>
      </c>
    </row>
    <row r="60">
      <c r="A60" s="9" t="inlineStr">
        <is>
          <t>Boss</t>
        </is>
      </c>
      <c r="B60" s="9" t="n">
        <v>1400</v>
      </c>
      <c r="C60" s="9" t="n">
        <v>1200</v>
      </c>
      <c r="D60" s="9" t="n">
        <v>0.2</v>
      </c>
      <c r="E60" s="9" t="n">
        <v>40</v>
      </c>
      <c r="F60" s="9" t="n">
        <v>0.2</v>
      </c>
      <c r="G60" s="9" t="inlineStr">
        <is>
          <t>3–5</t>
        </is>
      </c>
      <c r="H60" s="11" t="inlineStr">
        <is>
          <t>双元素护盾，关卡高潮。</t>
        </is>
      </c>
    </row>
    <row r="62">
      <c r="A62" s="7" t="inlineStr">
        <is>
          <t>这些数值来自 10_波次预算表的完整配平，不是拍的。改任意一个都要回 10 表重算余量。</t>
        </is>
      </c>
    </row>
    <row r="64">
      <c r="A64" s="3" t="inlineStr">
        <is>
          <t>波次组成（第 1 关）★ 与 10 表联动</t>
        </is>
      </c>
    </row>
    <row r="65" ht="30" customHeight="1">
      <c r="A65" s="8" t="inlineStr">
        <is>
          <t>波</t>
        </is>
      </c>
      <c r="B65" s="8" t="inlineStr">
        <is>
          <t>组成</t>
        </is>
      </c>
      <c r="C65" s="8" t="inlineStr">
        <is>
          <t>时长(秒)</t>
        </is>
      </c>
      <c r="D65" s="8" t="inlineStr">
        <is>
          <t>敌人总HP</t>
        </is>
      </c>
      <c r="E65" s="8" t="inlineStr">
        <is>
          <t>玩家总输出</t>
        </is>
      </c>
      <c r="F65" s="8" t="inlineStr">
        <is>
          <t>余量比</t>
        </is>
      </c>
      <c r="G65" s="8" t="inlineStr">
        <is>
          <t>设计意图</t>
        </is>
      </c>
    </row>
    <row r="66">
      <c r="A66" s="9" t="n">
        <v>1</v>
      </c>
      <c r="B66" s="9" t="inlineStr">
        <is>
          <t>6 小兵</t>
        </is>
      </c>
      <c r="C66" s="9" t="n">
        <v>30</v>
      </c>
      <c r="D66" s="9" t="n">
        <v>570</v>
      </c>
      <c r="E66" s="9" t="n">
        <v>967</v>
      </c>
      <c r="F66" s="9" t="n">
        <v>1.7</v>
      </c>
      <c r="G66" s="11" t="inlineStr">
        <is>
          <t>教学波。不可能失败。</t>
        </is>
      </c>
    </row>
    <row r="67">
      <c r="A67" s="9" t="n">
        <v>2</v>
      </c>
      <c r="B67" s="9" t="inlineStr">
        <is>
          <t>4 小兵 + 4 群聚 + 2 迅捷</t>
        </is>
      </c>
      <c r="C67" s="9" t="n">
        <v>35</v>
      </c>
      <c r="D67" s="9" t="n">
        <v>612</v>
      </c>
      <c r="E67" s="9" t="n">
        <v>1121</v>
      </c>
      <c r="F67" s="9" t="n">
        <v>1.83</v>
      </c>
      <c r="G67" s="11" t="inlineStr">
        <is>
          <t>引入群体压力与时间压力。</t>
        </is>
      </c>
    </row>
    <row r="68">
      <c r="A68" s="9" t="n">
        <v>3</v>
      </c>
      <c r="B68" s="9" t="inlineStr">
        <is>
          <t>2 重甲 + 6 小兵</t>
        </is>
      </c>
      <c r="C68" s="9" t="n">
        <v>45</v>
      </c>
      <c r="D68" s="9" t="n">
        <v>950</v>
      </c>
      <c r="E68" s="9" t="n">
        <v>1428</v>
      </c>
      <c r="F68" s="9" t="n">
        <v>1.5</v>
      </c>
      <c r="G68" s="11" t="inlineStr">
        <is>
          <t>引入护甲，制造第一次「打不动」的挫败。</t>
        </is>
      </c>
    </row>
    <row r="69">
      <c r="A69" s="9" t="n">
        <v>4</v>
      </c>
      <c r="B69" s="9" t="inlineStr">
        <is>
          <t>6 迅捷 + 2 重甲</t>
        </is>
      </c>
      <c r="C69" s="9" t="n">
        <v>45</v>
      </c>
      <c r="D69" s="9" t="n">
        <v>890</v>
      </c>
      <c r="E69" s="9" t="n">
        <v>1428</v>
      </c>
      <c r="F69" s="9" t="n">
        <v>1.6</v>
      </c>
      <c r="G69" s="11" t="inlineStr">
        <is>
          <t>时间压力为主，逼玩家加快合成。</t>
        </is>
      </c>
    </row>
    <row r="70">
      <c r="A70" s="9" t="n">
        <v>5</v>
      </c>
      <c r="B70" s="9" t="inlineStr">
        <is>
          <t>1 精英(火盾) + 8 小兵 + 4 群聚</t>
        </is>
      </c>
      <c r="C70" s="9" t="n">
        <v>60</v>
      </c>
      <c r="D70" s="9" t="n">
        <v>1310</v>
      </c>
      <c r="E70" s="9" t="n">
        <v>1889</v>
      </c>
      <c r="F70" s="9" t="n">
        <v>1.44</v>
      </c>
      <c r="G70" s="11" t="inlineStr">
        <is>
          <t>Boss 波。首次检验轮盘编排是否针对护盾。</t>
        </is>
      </c>
    </row>
    <row r="72">
      <c r="A72" s="7" t="inlineStr">
        <is>
          <t>关 1 总 HP ≈ 4,332，总时长 215s，总步数 153。整关余量比约 1.6 —— 这是刻意的爽感期。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46" customWidth="1" min="4" max="4"/>
    <col width="50" customWidth="1" min="5" max="5"/>
    <col width="11" customWidth="1" min="6" max="6"/>
    <col width="42" customWidth="1" min="7" max="7"/>
    <col width="44" customWidth="1" min="8" max="8"/>
  </cols>
  <sheetData>
    <row r="1">
      <c r="A1" s="1" t="inlineStr">
        <is>
          <t>植物数值与成长模型（★ v0.2：植物降级为辅助定位，主输出交给附魔）</t>
        </is>
      </c>
    </row>
    <row r="2">
      <c r="A2" s="7" t="inlineStr">
        <is>
          <t>成长公式：DPS = 基础 × (1 + 每星DPS加成×(星级−1)) × (1 + 每级DPS加成×(等级−1)) × 养成树枝叶加成</t>
        </is>
      </c>
    </row>
    <row r="3">
      <c r="A3" s="2" t="inlineStr">
        <is>
          <t>★ v0.2 变更：基础 DPS 整体下调约 42%（焰心草 12 → 7）。原因：按 v0.1 数值实算，关 1 每波植物输出是附魔的 2.7 倍，玩家不滑棋盘也能赢，直接违反支柱 P2。</t>
        </is>
      </c>
    </row>
    <row r="4" ht="30" customHeight="1">
      <c r="A4" s="8" t="inlineStr">
        <is>
          <t>植物</t>
        </is>
      </c>
      <c r="B4" s="8" t="inlineStr">
        <is>
          <t>元素</t>
        </is>
      </c>
      <c r="C4" s="8" t="inlineStr">
        <is>
          <t>攻击形态</t>
        </is>
      </c>
      <c r="D4" s="8" t="inlineStr">
        <is>
          <t>基础DPS</t>
        </is>
      </c>
      <c r="E4" s="8" t="inlineStr">
        <is>
          <t>v0.1 旧值</t>
        </is>
      </c>
      <c r="F4" s="8" t="inlineStr">
        <is>
          <t>射程(格)</t>
        </is>
      </c>
      <c r="G4" s="8" t="inlineStr">
        <is>
          <t>特性</t>
        </is>
      </c>
      <c r="H4" s="8" t="inlineStr">
        <is>
          <t>大招(4晶核/25s)</t>
        </is>
      </c>
    </row>
    <row r="5">
      <c r="A5" s="9" t="inlineStr">
        <is>
          <t>焰心草</t>
        </is>
      </c>
      <c r="B5" s="9" t="inlineStr">
        <is>
          <t>火</t>
        </is>
      </c>
      <c r="C5" s="9" t="inlineStr">
        <is>
          <t>直射单体</t>
        </is>
      </c>
      <c r="D5" s="9" t="n">
        <v>7</v>
      </c>
      <c r="E5" s="9" t="n">
        <v>12</v>
      </c>
      <c r="F5" s="9" t="n">
        <v>3</v>
      </c>
      <c r="G5" s="11" t="inlineStr">
        <is>
          <t>命中附加灼烧：3 秒内每秒 3 伤害</t>
        </is>
      </c>
      <c r="H5" s="11" t="inlineStr">
        <is>
          <t>全场灼烧 8s，每秒 EP×0.15</t>
        </is>
      </c>
    </row>
    <row r="6">
      <c r="A6" s="9" t="inlineStr">
        <is>
          <t>潮汐藤</t>
        </is>
      </c>
      <c r="B6" s="9" t="inlineStr">
        <is>
          <t>水</t>
        </is>
      </c>
      <c r="C6" s="9" t="inlineStr">
        <is>
          <t>环形 AoE</t>
        </is>
      </c>
      <c r="D6" s="9" t="n">
        <v>4</v>
      </c>
      <c r="E6" s="9" t="n">
        <v>7</v>
      </c>
      <c r="F6" s="9" t="n">
        <v>1.5</v>
      </c>
      <c r="G6" s="11" t="inlineStr">
        <is>
          <t>范围内敌人 −20% 移速（持续）</t>
        </is>
      </c>
      <c r="H6" s="11" t="inlineStr">
        <is>
          <t>全体击退 2 格 + 减速 50%（4s）</t>
        </is>
      </c>
    </row>
    <row r="7">
      <c r="A7" s="9" t="inlineStr">
        <is>
          <t>荆棘木</t>
        </is>
      </c>
      <c r="B7" s="9" t="inlineStr">
        <is>
          <t>木</t>
        </is>
      </c>
      <c r="C7" s="9" t="inlineStr">
        <is>
          <t>穿透直线</t>
        </is>
      </c>
      <c r="D7" s="9" t="n">
        <v>6</v>
      </c>
      <c r="E7" s="9" t="n">
        <v>11</v>
      </c>
      <c r="F7" s="9" t="inlineStr">
        <is>
          <t>无限</t>
        </is>
      </c>
      <c r="G7" s="11" t="inlineStr">
        <is>
          <t>无视前排阻挡，贯穿本行</t>
        </is>
      </c>
      <c r="H7" s="11" t="inlineStr">
        <is>
          <t>贯穿全屏光束，EP×3.0</t>
        </is>
      </c>
    </row>
    <row r="8">
      <c r="A8" s="9" t="inlineStr">
        <is>
          <t>辉光苔</t>
        </is>
      </c>
      <c r="B8" s="9" t="inlineStr">
        <is>
          <t>光</t>
        </is>
      </c>
      <c r="C8" s="9" t="inlineStr">
        <is>
          <t>辅助(无攻击)</t>
        </is>
      </c>
      <c r="D8" s="9" t="n">
        <v>0</v>
      </c>
      <c r="E8" s="9" t="n">
        <v>0</v>
      </c>
      <c r="F8" s="9" t="inlineStr">
        <is>
          <t>—</t>
        </is>
      </c>
      <c r="G8" s="11" t="inlineStr">
        <is>
          <t>每 10s：+1 步 或 +8 充能（玩家预设）</t>
        </is>
      </c>
      <c r="H8" s="11" t="inlineStr">
        <is>
          <t>立即 +4 步 +60 充能，全植物攻速 +50%（6s）</t>
        </is>
      </c>
    </row>
    <row r="9">
      <c r="A9" s="9" t="inlineStr">
        <is>
          <t>雷鸣花</t>
        </is>
      </c>
      <c r="B9" s="9" t="inlineStr">
        <is>
          <t>雷</t>
        </is>
      </c>
      <c r="C9" s="9" t="inlineStr">
        <is>
          <t>溅射</t>
        </is>
      </c>
      <c r="D9" s="9" t="n">
        <v>6</v>
      </c>
      <c r="E9" s="9" t="n">
        <v>10</v>
      </c>
      <c r="F9" s="9" t="n">
        <v>2.5</v>
      </c>
      <c r="G9" s="11" t="inlineStr">
        <is>
          <t>命中溅射周围 50% 伤害</t>
        </is>
      </c>
      <c r="H9" s="11" t="inlineStr">
        <is>
          <t>15 次随机落雷，每次 EP×0.4</t>
        </is>
      </c>
    </row>
    <row r="10">
      <c r="A10" s="9" t="inlineStr">
        <is>
          <t>霜晶莲</t>
        </is>
      </c>
      <c r="B10" s="9" t="inlineStr">
        <is>
          <t>冰</t>
        </is>
      </c>
      <c r="C10" s="9" t="inlineStr">
        <is>
          <t>直射单体</t>
        </is>
      </c>
      <c r="D10" s="9" t="n">
        <v>5</v>
      </c>
      <c r="E10" s="9" t="n">
        <v>8</v>
      </c>
      <c r="F10" s="9" t="n">
        <v>3</v>
      </c>
      <c r="G10" s="11" t="inlineStr">
        <is>
          <t>命中减速 30%（2s）</t>
        </is>
      </c>
      <c r="H10" s="11" t="inlineStr">
        <is>
          <t>全场冻结 4s，冻结期间受伤 +25%</t>
        </is>
      </c>
    </row>
    <row r="12">
      <c r="A12" s="3" t="inlineStr">
        <is>
          <t>星级 / 等级成长曲线（以荆棘木 基础DPS=6 为例）</t>
        </is>
      </c>
    </row>
    <row r="13" ht="30" customHeight="1">
      <c r="A13" s="8" t="inlineStr">
        <is>
          <t>等级\星级</t>
        </is>
      </c>
      <c r="B13" s="8" t="inlineStr">
        <is>
          <t>1★</t>
        </is>
      </c>
      <c r="C13" s="8" t="inlineStr">
        <is>
          <t>2★</t>
        </is>
      </c>
      <c r="D13" s="8" t="inlineStr">
        <is>
          <t>3★</t>
        </is>
      </c>
      <c r="E13" s="8" t="inlineStr">
        <is>
          <t>4★</t>
        </is>
      </c>
      <c r="F13" s="8" t="inlineStr">
        <is>
          <t>5★</t>
        </is>
      </c>
    </row>
    <row r="14">
      <c r="A14" s="9" t="inlineStr">
        <is>
          <t>Lv.1</t>
        </is>
      </c>
      <c r="B14" s="13">
        <f>6*(1+'01_核心常量'!$D$47*(1-1))*(1+'01_核心常量'!$D$48*(1-1))</f>
        <v/>
      </c>
      <c r="C14" s="13">
        <f>6*(1+'01_核心常量'!$D$47*(2-1))*(1+'01_核心常量'!$D$48*(1-1))</f>
        <v/>
      </c>
      <c r="D14" s="13">
        <f>6*(1+'01_核心常量'!$D$47*(3-1))*(1+'01_核心常量'!$D$48*(1-1))</f>
        <v/>
      </c>
      <c r="E14" s="13">
        <f>6*(1+'01_核心常量'!$D$47*(4-1))*(1+'01_核心常量'!$D$48*(1-1))</f>
        <v/>
      </c>
      <c r="F14" s="13">
        <f>6*(1+'01_核心常量'!$D$47*(5-1))*(1+'01_核心常量'!$D$48*(1-1))</f>
        <v/>
      </c>
    </row>
    <row r="15">
      <c r="A15" s="9" t="inlineStr">
        <is>
          <t>Lv.10</t>
        </is>
      </c>
      <c r="B15" s="13">
        <f>6*(1+'01_核心常量'!$D$47*(1-1))*(1+'01_核心常量'!$D$48*(10-1))</f>
        <v/>
      </c>
      <c r="C15" s="13">
        <f>6*(1+'01_核心常量'!$D$47*(2-1))*(1+'01_核心常量'!$D$48*(10-1))</f>
        <v/>
      </c>
      <c r="D15" s="13">
        <f>6*(1+'01_核心常量'!$D$47*(3-1))*(1+'01_核心常量'!$D$48*(10-1))</f>
        <v/>
      </c>
      <c r="E15" s="13">
        <f>6*(1+'01_核心常量'!$D$47*(4-1))*(1+'01_核心常量'!$D$48*(10-1))</f>
        <v/>
      </c>
      <c r="F15" s="13">
        <f>6*(1+'01_核心常量'!$D$47*(5-1))*(1+'01_核心常量'!$D$48*(10-1))</f>
        <v/>
      </c>
    </row>
    <row r="16">
      <c r="A16" s="9" t="inlineStr">
        <is>
          <t>Lv.20</t>
        </is>
      </c>
      <c r="B16" s="13">
        <f>6*(1+'01_核心常量'!$D$47*(1-1))*(1+'01_核心常量'!$D$48*(20-1))</f>
        <v/>
      </c>
      <c r="C16" s="13">
        <f>6*(1+'01_核心常量'!$D$47*(2-1))*(1+'01_核心常量'!$D$48*(20-1))</f>
        <v/>
      </c>
      <c r="D16" s="13">
        <f>6*(1+'01_核心常量'!$D$47*(3-1))*(1+'01_核心常量'!$D$48*(20-1))</f>
        <v/>
      </c>
      <c r="E16" s="13">
        <f>6*(1+'01_核心常量'!$D$47*(4-1))*(1+'01_核心常量'!$D$48*(20-1))</f>
        <v/>
      </c>
      <c r="F16" s="13">
        <f>6*(1+'01_核心常量'!$D$47*(5-1))*(1+'01_核心常量'!$D$48*(20-1))</f>
        <v/>
      </c>
    </row>
    <row r="17">
      <c r="A17" s="9" t="inlineStr">
        <is>
          <t>Lv.30</t>
        </is>
      </c>
      <c r="B17" s="13">
        <f>6*(1+'01_核心常量'!$D$47*(1-1))*(1+'01_核心常量'!$D$48*(30-1))</f>
        <v/>
      </c>
      <c r="C17" s="13">
        <f>6*(1+'01_核心常量'!$D$47*(2-1))*(1+'01_核心常量'!$D$48*(30-1))</f>
        <v/>
      </c>
      <c r="D17" s="13">
        <f>6*(1+'01_核心常量'!$D$47*(3-1))*(1+'01_核心常量'!$D$48*(30-1))</f>
        <v/>
      </c>
      <c r="E17" s="13">
        <f>6*(1+'01_核心常量'!$D$47*(4-1))*(1+'01_核心常量'!$D$48*(30-1))</f>
        <v/>
      </c>
      <c r="F17" s="13">
        <f>6*(1+'01_核心常量'!$D$47*(5-1))*(1+'01_核心常量'!$D$48*(30-1))</f>
        <v/>
      </c>
    </row>
    <row r="18">
      <c r="A18" s="9" t="inlineStr">
        <is>
          <t>Lv.40</t>
        </is>
      </c>
      <c r="B18" s="13">
        <f>6*(1+'01_核心常量'!$D$47*(1-1))*(1+'01_核心常量'!$D$48*(40-1))</f>
        <v/>
      </c>
      <c r="C18" s="13">
        <f>6*(1+'01_核心常量'!$D$47*(2-1))*(1+'01_核心常量'!$D$48*(40-1))</f>
        <v/>
      </c>
      <c r="D18" s="13">
        <f>6*(1+'01_核心常量'!$D$47*(3-1))*(1+'01_核心常量'!$D$48*(40-1))</f>
        <v/>
      </c>
      <c r="E18" s="13">
        <f>6*(1+'01_核心常量'!$D$47*(4-1))*(1+'01_核心常量'!$D$48*(40-1))</f>
        <v/>
      </c>
      <c r="F18" s="13">
        <f>6*(1+'01_核心常量'!$D$47*(5-1))*(1+'01_核心常量'!$D$48*(40-1))</f>
        <v/>
      </c>
    </row>
    <row r="19">
      <c r="A19" s="9" t="inlineStr">
        <is>
          <t>Lv.50</t>
        </is>
      </c>
      <c r="B19" s="13">
        <f>6*(1+'01_核心常量'!$D$47*(1-1))*(1+'01_核心常量'!$D$48*(50-1))</f>
        <v/>
      </c>
      <c r="C19" s="13">
        <f>6*(1+'01_核心常量'!$D$47*(2-1))*(1+'01_核心常量'!$D$48*(50-1))</f>
        <v/>
      </c>
      <c r="D19" s="13">
        <f>6*(1+'01_核心常量'!$D$47*(3-1))*(1+'01_核心常量'!$D$48*(50-1))</f>
        <v/>
      </c>
      <c r="E19" s="13">
        <f>6*(1+'01_核心常量'!$D$47*(4-1))*(1+'01_核心常量'!$D$48*(50-1))</f>
        <v/>
      </c>
      <c r="F19" s="13">
        <f>6*(1+'01_核心常量'!$D$47*(5-1))*(1+'01_核心常量'!$D$48*(50-1))</f>
        <v/>
      </c>
    </row>
    <row r="21">
      <c r="A21" s="7" t="inlineStr">
        <is>
          <t>【设计校验】Lv.50 / 5★ 的荆棘木 = 6 × 1.8 × 1.98 = 21.4 DPS，是初始值的 3.56 倍（倍率不变，只是基数下调）。配合编队位扩展至 6（伙伴位 50% 效率 → ×1.5），植物侧满养成合计约 5.3 倍。</t>
        </is>
      </c>
    </row>
    <row r="22">
      <c r="A22" s="7" t="inlineStr">
        <is>
          <t>★★【平衡红线 · 最重要的一个】养成 vs 局内卡牌的战力占比，建议 60 : 40。监控方式：分别统计「满养成 + 零卡牌」与「零养成 + 满卡牌」两种极端配置下的可达关卡，二者之比应落在 1.3 – 1.8 之间。</t>
        </is>
      </c>
    </row>
    <row r="24">
      <c r="A24" s="3" t="inlineStr">
        <is>
          <t>六元素效果表 ★ 火的 AoE 已修正（v0.2 M4）</t>
        </is>
      </c>
    </row>
    <row r="25" ht="30" customHeight="1">
      <c r="A25" s="8" t="inlineStr">
        <is>
          <t>元素</t>
        </is>
      </c>
      <c r="B25" s="8" t="inlineStr">
        <is>
          <t>定位</t>
        </is>
      </c>
      <c r="C25" s="8" t="inlineStr">
        <is>
          <t>总伤害池</t>
        </is>
      </c>
      <c r="D25" s="8" t="inlineStr">
        <is>
          <t>效果（0★ / EP=180）</t>
        </is>
      </c>
      <c r="E25" s="8" t="inlineStr">
        <is>
          <t>设计意图</t>
        </is>
      </c>
    </row>
    <row r="26">
      <c r="A26" s="9" t="inlineStr">
        <is>
          <t>火</t>
        </is>
      </c>
      <c r="B26" s="9" t="inlineStr">
        <is>
          <t>群体爆发</t>
        </is>
      </c>
      <c r="C26" s="9" t="inlineStr">
        <is>
          <t>≈EP×2.5</t>
        </is>
      </c>
      <c r="D26" s="11" t="inlineStr">
        <is>
          <t>★ 全场均分 EP×2.5 总伤害；已灼烧目标 +30%</t>
        </is>
      </c>
      <c r="E26" s="11" t="inlineStr">
        <is>
          <t>清群首选。v0.1 是「每个敌人各受 EP×1.0」= N×EP，13 敌时是雷的 5.2 倍 —— 已封顶修正。</t>
        </is>
      </c>
    </row>
    <row r="27">
      <c r="A27" s="9" t="inlineStr">
        <is>
          <t>雷</t>
        </is>
      </c>
      <c r="B27" s="9" t="inlineStr">
        <is>
          <t>单体爆发</t>
        </is>
      </c>
      <c r="C27" s="9" t="inlineStr">
        <is>
          <t>≈EP×2.5</t>
        </is>
      </c>
      <c r="D27" s="11" t="inlineStr">
        <is>
          <t>连锁闪电弹跳 5 次，每次 EP×0.5，优先最前排</t>
        </is>
      </c>
      <c r="E27" s="11" t="inlineStr">
        <is>
          <t>打 Boss / 重甲。与火总伤害相等，区别纯化为分摊 vs 集中。</t>
        </is>
      </c>
    </row>
    <row r="28">
      <c r="A28" s="9" t="inlineStr">
        <is>
          <t>冰</t>
        </is>
      </c>
      <c r="B28" s="9" t="inlineStr">
        <is>
          <t>控制+增伤</t>
        </is>
      </c>
      <c r="C28" s="9" t="inlineStr">
        <is>
          <t>—</t>
        </is>
      </c>
      <c r="D28" s="11" t="inlineStr">
        <is>
          <t>全场定身 3s，冻结目标受伤 +25%</t>
        </is>
      </c>
      <c r="E28" s="11" t="inlineStr">
        <is>
          <t>救场技，为爆发铺路。进攻向。</t>
        </is>
      </c>
    </row>
    <row r="29">
      <c r="A29" s="9" t="inlineStr">
        <is>
          <t>水</t>
        </is>
      </c>
      <c r="B29" s="9" t="inlineStr">
        <is>
          <t>持续减速</t>
        </is>
      </c>
      <c r="C29" s="9" t="inlineStr">
        <is>
          <t>—</t>
        </is>
      </c>
      <c r="D29" s="11" t="inlineStr">
        <is>
          <t>移速 −40%，持续 5s，造成伤害 −20%</t>
        </is>
      </c>
      <c r="E29" s="11" t="inlineStr">
        <is>
          <t>拖时间，给棋盘争取步数。防守向。</t>
        </is>
      </c>
    </row>
    <row r="30">
      <c r="A30" s="9" t="inlineStr">
        <is>
          <t>木</t>
        </is>
      </c>
      <c r="B30" s="9" t="inlineStr">
        <is>
          <t>己方增益</t>
        </is>
      </c>
      <c r="C30" s="9" t="inlineStr">
        <is>
          <t>—</t>
        </is>
      </c>
      <c r="D30" s="11" t="inlineStr">
        <is>
          <t>植物攻速 +35%，持续 8s；星枢回复 EP×0.2</t>
        </is>
      </c>
      <c r="E30" s="11" t="inlineStr">
        <is>
          <t>长线收益，配合高 DPS 编队才有价值。</t>
        </is>
      </c>
    </row>
    <row r="31">
      <c r="A31" s="9" t="inlineStr">
        <is>
          <t>光</t>
        </is>
      </c>
      <c r="B31" s="9" t="inlineStr">
        <is>
          <t>资源调度</t>
        </is>
      </c>
      <c r="C31" s="9" t="inlineStr">
        <is>
          <t>—</t>
        </is>
      </c>
      <c r="D31" s="11" t="inlineStr">
        <is>
          <t>清除棋盘所有 ≤4 方块；+2 步；植物伤害 +25%（8s）</t>
        </is>
      </c>
      <c r="E31" s="11" t="inlineStr">
        <is>
          <t>唯一直接强化棋盘的元素，是解卡保底。</t>
        </is>
      </c>
    </row>
    <row r="33">
      <c r="A33" s="7" t="inlineStr">
        <is>
          <t>★ 平衡校验：火与雷总伤害池都是 EP × 2.5 = 450（EP=180）。火分摊给全场（对 6 敌每人 75），雷集中在最前排（5 跳 × 90）。场面宽选火，打 Boss 选雷 —— 无绝对优劣。</t>
        </is>
      </c>
    </row>
    <row r="35">
      <c r="A35" s="3" t="inlineStr">
        <is>
          <t>元素护盾（让轮盘编排有外部约束）</t>
        </is>
      </c>
    </row>
    <row r="36" ht="30" customHeight="1">
      <c r="A36" s="8" t="inlineStr">
        <is>
          <t>护盾类型</t>
        </is>
      </c>
      <c r="B36" s="8" t="inlineStr">
        <is>
          <t>效果</t>
        </is>
      </c>
      <c r="C36" s="8" t="inlineStr">
        <is>
          <t>破解方式</t>
        </is>
      </c>
      <c r="D36" s="8" t="inlineStr">
        <is>
          <t>设计目的</t>
        </is>
      </c>
    </row>
    <row r="37">
      <c r="A37" s="11" t="inlineStr">
        <is>
          <t>元素护盾 · X</t>
        </is>
      </c>
      <c r="B37" s="11" t="inlineStr">
        <is>
          <t>受到非 X 元素伤害 −60%</t>
        </is>
      </c>
      <c r="C37" s="11" t="inlineStr">
        <is>
          <t>用 X 元素附魔 / X 属性植物攻击</t>
        </is>
      </c>
      <c r="D37" s="11" t="inlineStr">
        <is>
          <t>防止玩家把轮盘排成固定最优解。</t>
        </is>
      </c>
    </row>
    <row r="38">
      <c r="A38" s="11" t="inlineStr">
        <is>
          <t>元素易伤 · X</t>
        </is>
      </c>
      <c r="B38" s="11" t="inlineStr">
        <is>
          <t>受到 X 元素伤害 +100%</t>
        </is>
      </c>
      <c r="C38" s="11" t="inlineStr">
        <is>
          <t>针对性编排轮盘</t>
        </is>
      </c>
      <c r="D38" s="11" t="inlineStr">
        <is>
          <t>奖励开局前的配置决策。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46" customWidth="1" min="4" max="4"/>
    <col width="9" customWidth="1" min="5" max="5"/>
    <col width="46" customWidth="1" min="6" max="6"/>
  </cols>
  <sheetData>
    <row r="1">
      <c r="A1" s="1" t="inlineStr">
        <is>
          <t>卡池清单 · 稀有度权重 · ★ 战力点等价（v0.2 新增配平工具）</t>
        </is>
      </c>
    </row>
    <row r="2">
      <c r="A2" s="3" t="inlineStr">
        <is>
          <t>稀有度权重（按关卡）</t>
        </is>
      </c>
    </row>
    <row r="3" ht="30" customHeight="1">
      <c r="A3" s="8" t="inlineStr">
        <is>
          <t>关卡</t>
        </is>
      </c>
      <c r="B3" s="8" t="inlineStr">
        <is>
          <t>普通</t>
        </is>
      </c>
      <c r="C3" s="8" t="inlineStr">
        <is>
          <t>稀有</t>
        </is>
      </c>
      <c r="D3" s="8" t="inlineStr">
        <is>
          <t>史诗</t>
        </is>
      </c>
      <c r="E3" s="8" t="inlineStr">
        <is>
          <t>传说</t>
        </is>
      </c>
      <c r="F3" s="8" t="inlineStr">
        <is>
          <t>说明</t>
        </is>
      </c>
    </row>
    <row r="4">
      <c r="A4" s="9" t="n">
        <v>1</v>
      </c>
      <c r="B4" s="21" t="n">
        <v>0.7</v>
      </c>
      <c r="C4" s="21" t="n">
        <v>0.25</v>
      </c>
      <c r="D4" s="21" t="n">
        <v>0.05</v>
      </c>
      <c r="E4" s="21" t="n">
        <v>0</v>
      </c>
      <c r="F4" s="11" t="inlineStr">
        <is>
          <t>教学期，几乎只有基础卡。</t>
        </is>
      </c>
    </row>
    <row r="5">
      <c r="A5" s="9" t="n">
        <v>2</v>
      </c>
      <c r="B5" s="21" t="n">
        <v>0.6</v>
      </c>
      <c r="C5" s="21" t="n">
        <v>0.3</v>
      </c>
      <c r="D5" s="21" t="n">
        <v>0.09</v>
      </c>
      <c r="E5" s="21" t="n">
        <v>0.01</v>
      </c>
      <c r="F5" s="11" t="inlineStr">
        <is>
          <t>首次见到传说，制造惊喜。</t>
        </is>
      </c>
    </row>
    <row r="6">
      <c r="A6" s="9" t="n">
        <v>3</v>
      </c>
      <c r="B6" s="21" t="n">
        <v>0.5</v>
      </c>
      <c r="C6" s="21" t="n">
        <v>0.33</v>
      </c>
      <c r="D6" s="21" t="n">
        <v>0.15</v>
      </c>
      <c r="E6" s="21" t="n">
        <v>0.02</v>
      </c>
      <c r="F6" s="11" t="inlineStr">
        <is>
          <t>构筑开始成型。</t>
        </is>
      </c>
    </row>
    <row r="7">
      <c r="A7" s="9" t="n">
        <v>4</v>
      </c>
      <c r="B7" s="21" t="n">
        <v>0.42</v>
      </c>
      <c r="C7" s="21" t="n">
        <v>0.35</v>
      </c>
      <c r="D7" s="21" t="n">
        <v>0.18</v>
      </c>
      <c r="E7" s="21" t="n">
        <v>0.05</v>
      </c>
      <c r="F7" s="11" t="inlineStr">
        <is>
          <t>构筑发力期。</t>
        </is>
      </c>
    </row>
    <row r="8">
      <c r="A8" s="9" t="inlineStr">
        <is>
          <t>5+</t>
        </is>
      </c>
      <c r="B8" s="21" t="n">
        <v>0.35</v>
      </c>
      <c r="C8" s="21" t="n">
        <v>0.35</v>
      </c>
      <c r="D8" s="21" t="n">
        <v>0.22</v>
      </c>
      <c r="E8" s="21" t="n">
        <v>0.08</v>
      </c>
      <c r="F8" s="11" t="inlineStr">
        <is>
          <t>后期。同关第 4、5 波再 +5% 稀有度权重。</t>
        </is>
      </c>
    </row>
    <row r="10">
      <c r="A10" s="3" t="inlineStr">
        <is>
          <t>战力点基准（1 战力点 = 关 1 每波 1% 输出 = 11.5 伤害）</t>
        </is>
      </c>
    </row>
    <row r="11" ht="30" customHeight="1">
      <c r="A11" s="8" t="inlineStr">
        <is>
          <t>项目</t>
        </is>
      </c>
      <c r="B11" s="8" t="inlineStr">
        <is>
          <t>每波数值</t>
        </is>
      </c>
      <c r="C11" s="8" t="inlineStr">
        <is>
          <t>占比</t>
        </is>
      </c>
      <c r="D11" s="8" t="inlineStr">
        <is>
          <t>说明</t>
        </is>
      </c>
    </row>
    <row r="12">
      <c r="A12" s="9" t="inlineStr">
        <is>
          <t>关 1 每波总输出</t>
        </is>
      </c>
      <c r="B12" s="22" t="n">
        <v>1148</v>
      </c>
      <c r="C12" s="9" t="inlineStr">
        <is>
          <t>100%</t>
        </is>
      </c>
      <c r="D12" s="9" t="inlineStr">
        <is>
          <t>见 10_波次预算表。这是战力点的分母。</t>
        </is>
      </c>
    </row>
    <row r="13">
      <c r="A13" s="9" t="inlineStr">
        <is>
          <t>其中 · 附魔</t>
        </is>
      </c>
      <c r="B13" s="22" t="n">
        <v>675</v>
      </c>
      <c r="C13" s="9" t="inlineStr">
        <is>
          <t>59%</t>
        </is>
      </c>
      <c r="D13" s="9" t="inlineStr">
        <is>
          <t>小附魔 1.5 次 × EP 180 × ELEM_CAP 2.5。</t>
        </is>
      </c>
    </row>
    <row r="14">
      <c r="A14" s="9" t="inlineStr">
        <is>
          <t>其中 · 植物</t>
        </is>
      </c>
      <c r="B14" s="22" t="n">
        <v>473</v>
      </c>
      <c r="C14" s="9" t="inlineStr">
        <is>
          <t>41%</t>
        </is>
      </c>
      <c r="D14" s="9" t="inlineStr">
        <is>
          <t>3 株 × DPS 7 × 30s × HIT_RATE 0.75。</t>
        </is>
      </c>
    </row>
    <row r="15">
      <c r="A15" s="9" t="inlineStr">
        <is>
          <t>1 战力点 =</t>
        </is>
      </c>
      <c r="B15" s="22" t="n">
        <v>11.5</v>
      </c>
      <c r="C15" s="9" t="inlineStr">
        <is>
          <t>1%</t>
        </is>
      </c>
      <c r="D15" s="9" t="inlineStr">
        <is>
          <t>所有卡牌效果都折算到这把尺子上。</t>
        </is>
      </c>
    </row>
    <row r="17">
      <c r="A17" s="7" t="inlineStr">
        <is>
          <t>★ 合格区间：普通 4–6 点 / 稀有 7–10 点 / 史诗 12–18 点 / 传说 20+ 点。新增卡牌一律先算战力点再定稀有度。</t>
        </is>
      </c>
    </row>
    <row r="18">
      <c r="A18" s="7" t="inlineStr">
        <is>
          <t>★ 三条由此得出配平规则：① 步数/充能类卡是最强杠杆（同时放大 CV、充能、超载三条链路），不该出现在普通稀有度；② 经济卡战力点为 0，不该与战斗卡同池竞争，建议独立成池，每波第 3 次三选一固定从经济池抽；③ 战力点 &lt; 2 的卡是废卡，等于卡池缩水。</t>
        </is>
      </c>
    </row>
    <row r="20">
      <c r="A20" s="3" t="inlineStr">
        <is>
          <t>卡池（★ 战力点为实测折算，处置列为 v0.2 建议）</t>
        </is>
      </c>
    </row>
    <row r="21" ht="30" customHeight="1">
      <c r="A21" s="8" t="inlineStr">
        <is>
          <t>类别</t>
        </is>
      </c>
      <c r="B21" s="8" t="inlineStr">
        <is>
          <t>卡名</t>
        </is>
      </c>
      <c r="C21" s="8" t="inlineStr">
        <is>
          <t>稀有度</t>
        </is>
      </c>
      <c r="D21" s="8" t="inlineStr">
        <is>
          <t>效果</t>
        </is>
      </c>
      <c r="E21" s="8" t="inlineStr">
        <is>
          <t>战力点</t>
        </is>
      </c>
      <c r="F21" s="8" t="inlineStr">
        <is>
          <t>处置建议</t>
        </is>
      </c>
    </row>
    <row r="22">
      <c r="A22" s="9" t="inlineStr">
        <is>
          <t>棋盘</t>
        </is>
      </c>
      <c r="B22" s="9" t="inlineStr">
        <is>
          <t>丰饶</t>
        </is>
      </c>
      <c r="C22" s="9" t="inlineStr">
        <is>
          <t>史诗</t>
        </is>
      </c>
      <c r="D22" s="11" t="inlineStr">
        <is>
          <t>每次移动额外生成 1 个方块</t>
        </is>
      </c>
      <c r="E22" s="23" t="n">
        <v>58</v>
      </c>
      <c r="F22" s="11" t="inlineStr">
        <is>
          <t>🔴 破坏性超模（正常卡的 10 倍）。重做或删除。</t>
        </is>
      </c>
    </row>
    <row r="23">
      <c r="A23" s="9" t="inlineStr">
        <is>
          <t>棋盘</t>
        </is>
      </c>
      <c r="B23" s="9" t="inlineStr">
        <is>
          <t>充能加速</t>
        </is>
      </c>
      <c r="C23" s="9" t="inlineStr">
        <is>
          <t>普通</t>
        </is>
      </c>
      <c r="D23" s="11" t="inlineStr">
        <is>
          <t>每次合成充能 +25%</t>
        </is>
      </c>
      <c r="E23" s="24" t="n">
        <v>14.7</v>
      </c>
      <c r="F23" s="11" t="inlineStr">
        <is>
          <t>🔴 超模。升为史诗，或削到 +12%。</t>
        </is>
      </c>
    </row>
    <row r="24">
      <c r="A24" s="9" t="inlineStr">
        <is>
          <t>棋盘</t>
        </is>
      </c>
      <c r="B24" s="9" t="inlineStr">
        <is>
          <t>疾风</t>
        </is>
      </c>
      <c r="C24" s="9" t="inlineStr">
        <is>
          <t>普通</t>
        </is>
      </c>
      <c r="D24" s="11" t="inlineStr">
        <is>
          <t>步数回复速度 +15%</t>
        </is>
      </c>
      <c r="E24" s="24" t="n">
        <v>8.800000000000001</v>
      </c>
      <c r="F24" s="11" t="inlineStr">
        <is>
          <t>🟡 偏强。升为稀有。</t>
        </is>
      </c>
    </row>
    <row r="25">
      <c r="A25" s="9" t="inlineStr">
        <is>
          <t>棋盘</t>
        </is>
      </c>
      <c r="B25" s="9" t="inlineStr">
        <is>
          <t>精准</t>
        </is>
      </c>
      <c r="C25" s="9" t="inlineStr">
        <is>
          <t>稀有</t>
        </is>
      </c>
      <c r="D25" s="11" t="inlineStr">
        <is>
          <t>生成值为高档的概率 +25%</t>
        </is>
      </c>
      <c r="E25" s="24" t="n">
        <v>6.5</v>
      </c>
      <c r="F25" s="11" t="inlineStr">
        <is>
          <t>✅ 合格。</t>
        </is>
      </c>
    </row>
    <row r="26">
      <c r="A26" s="9" t="inlineStr">
        <is>
          <t>棋盘</t>
        </is>
      </c>
      <c r="B26" s="9" t="inlineStr">
        <is>
          <t>聚能</t>
        </is>
      </c>
      <c r="C26" s="9" t="inlineStr">
        <is>
          <t>普通</t>
        </is>
      </c>
      <c r="D26" s="11" t="inlineStr">
        <is>
          <t>充能条上限 −10</t>
        </is>
      </c>
      <c r="E26" s="24" t="n">
        <v>6.2</v>
      </c>
      <c r="F26" s="11" t="inlineStr">
        <is>
          <t>✅ 合格（注意：充能降频后此卡价值同步下降）。</t>
        </is>
      </c>
    </row>
    <row r="27">
      <c r="A27" s="9" t="inlineStr">
        <is>
          <t>棋盘</t>
        </is>
      </c>
      <c r="B27" s="9" t="inlineStr">
        <is>
          <t>净化术</t>
        </is>
      </c>
      <c r="C27" s="9" t="inlineStr">
        <is>
          <t>稀有</t>
        </is>
      </c>
      <c r="D27" s="11" t="inlineStr">
        <is>
          <t>立即清除所有 ≤8 方块并 +2 步</t>
        </is>
      </c>
      <c r="E27" s="24" t="n">
        <v>4</v>
      </c>
      <c r="F27" s="11" t="inlineStr">
        <is>
          <t>✅ 情境救急卡。</t>
        </is>
      </c>
    </row>
    <row r="28">
      <c r="A28" s="9" t="inlineStr">
        <is>
          <t>棋盘</t>
        </is>
      </c>
      <c r="B28" s="9" t="inlineStr">
        <is>
          <t>稳健</t>
        </is>
      </c>
      <c r="C28" s="9" t="inlineStr">
        <is>
          <t>普通</t>
        </is>
      </c>
      <c r="D28" s="11" t="inlineStr">
        <is>
          <t>步数上限 +1</t>
        </is>
      </c>
      <c r="E28" s="24" t="n">
        <v>2</v>
      </c>
      <c r="F28" s="11" t="inlineStr">
        <is>
          <t>🔴 近废卡（步数回复才是瓶颈，不是容量）。改为「步数回复 +8%」。</t>
        </is>
      </c>
    </row>
    <row r="29">
      <c r="A29" s="9" t="inlineStr">
        <is>
          <t>棋盘</t>
        </is>
      </c>
      <c r="B29" s="9" t="inlineStr">
        <is>
          <t>连锁核心</t>
        </is>
      </c>
      <c r="C29" s="9" t="inlineStr">
        <is>
          <t>传说</t>
        </is>
      </c>
      <c r="D29" s="11" t="inlineStr">
        <is>
          <t>一次移动中第 3 次及以后的合并，充能与 CV 翻倍</t>
        </is>
      </c>
      <c r="E29" s="23" t="n">
        <v>0.5</v>
      </c>
      <c r="F29" s="11" t="inlineStr">
        <is>
          <t>🔴 废卡且方向错误。实测 random 3连 10.3% &gt; greedy 3.5%，此卡奖励乱滑。删除重做。</t>
        </is>
      </c>
    </row>
    <row r="30">
      <c r="A30" s="9" t="inlineStr">
        <is>
          <t>战斗</t>
        </is>
      </c>
      <c r="B30" s="9" t="inlineStr">
        <is>
          <t>共生</t>
        </is>
      </c>
      <c r="C30" s="9" t="inlineStr">
        <is>
          <t>传说</t>
        </is>
      </c>
      <c r="D30" s="11" t="inlineStr">
        <is>
          <t>每个存活植物使全植物伤害 +8%</t>
        </is>
      </c>
      <c r="E30" s="24" t="n">
        <v>9.800000000000001</v>
      </c>
      <c r="F30" s="11" t="inlineStr">
        <is>
          <t>✅ 合格（3 株时）；满编队 6 株会超模，建议改为 +5%/株。</t>
        </is>
      </c>
    </row>
    <row r="31">
      <c r="A31" s="9" t="inlineStr">
        <is>
          <t>战斗</t>
        </is>
      </c>
      <c r="B31" s="9" t="inlineStr">
        <is>
          <t>锋锐</t>
        </is>
      </c>
      <c r="C31" s="9" t="inlineStr">
        <is>
          <t>普通</t>
        </is>
      </c>
      <c r="D31" s="11" t="inlineStr">
        <is>
          <t>全植物伤害 +15%</t>
        </is>
      </c>
      <c r="E31" s="24" t="n">
        <v>6.2</v>
      </c>
      <c r="F31" s="11" t="inlineStr">
        <is>
          <t>✅ 合格，作为普通卡的战力基准。</t>
        </is>
      </c>
    </row>
    <row r="32">
      <c r="A32" s="9" t="inlineStr">
        <is>
          <t>战斗</t>
        </is>
      </c>
      <c r="B32" s="9" t="inlineStr">
        <is>
          <t>暴击</t>
        </is>
      </c>
      <c r="C32" s="9" t="inlineStr">
        <is>
          <t>稀有</t>
        </is>
      </c>
      <c r="D32" s="11" t="inlineStr">
        <is>
          <t>暴击率 +10%，暴击伤害 150%</t>
        </is>
      </c>
      <c r="E32" s="24" t="n">
        <v>5</v>
      </c>
      <c r="F32" s="11" t="inlineStr">
        <is>
          <t>✅ 合格。</t>
        </is>
      </c>
    </row>
    <row r="33">
      <c r="A33" s="9" t="inlineStr">
        <is>
          <t>战斗</t>
        </is>
      </c>
      <c r="B33" s="9" t="inlineStr">
        <is>
          <t>连射</t>
        </is>
      </c>
      <c r="C33" s="9" t="inlineStr">
        <is>
          <t>普通</t>
        </is>
      </c>
      <c r="D33" s="11" t="inlineStr">
        <is>
          <t>全植物攻速 +12%</t>
        </is>
      </c>
      <c r="E33" s="24" t="n">
        <v>4.9</v>
      </c>
      <c r="F33" s="11" t="inlineStr">
        <is>
          <t>✅ 合格。</t>
        </is>
      </c>
    </row>
    <row r="34">
      <c r="A34" s="9" t="inlineStr">
        <is>
          <t>战斗</t>
        </is>
      </c>
      <c r="B34" s="9" t="inlineStr">
        <is>
          <t>破甲</t>
        </is>
      </c>
      <c r="C34" s="9" t="inlineStr">
        <is>
          <t>稀有</t>
        </is>
      </c>
      <c r="D34" s="11" t="inlineStr">
        <is>
          <t>无视 30% 护甲</t>
        </is>
      </c>
      <c r="E34" s="24" t="n">
        <v>3.6</v>
      </c>
      <c r="F34" s="11" t="inlineStr">
        <is>
          <t>🟡 情境卡。需提高其出现率，否则玩家觉得抽到废卡。</t>
        </is>
      </c>
    </row>
    <row r="35">
      <c r="A35" s="9" t="inlineStr">
        <is>
          <t>战斗</t>
        </is>
      </c>
      <c r="B35" s="9" t="inlineStr">
        <is>
          <t>荆棘</t>
        </is>
      </c>
      <c r="C35" s="9" t="inlineStr">
        <is>
          <t>史诗</t>
        </is>
      </c>
      <c r="D35" s="11" t="inlineStr">
        <is>
          <t>敌人撞星枢时反伤 200</t>
        </is>
      </c>
      <c r="E35" s="24" t="n">
        <v>3</v>
      </c>
      <c r="F35" s="11" t="inlineStr">
        <is>
          <t>🟡 偏弱。后期压力大时才有用，建议按关卡动态加权。</t>
        </is>
      </c>
    </row>
    <row r="36">
      <c r="A36" s="9" t="inlineStr">
        <is>
          <t>战斗</t>
        </is>
      </c>
      <c r="B36" s="9" t="inlineStr">
        <is>
          <t>远眺</t>
        </is>
      </c>
      <c r="C36" s="9" t="inlineStr">
        <is>
          <t>普通</t>
        </is>
      </c>
      <c r="D36" s="11" t="inlineStr">
        <is>
          <t>全植物射程 +1</t>
        </is>
      </c>
      <c r="E36" s="23" t="n">
        <v>1.5</v>
      </c>
      <c r="F36" s="11" t="inlineStr">
        <is>
          <t>🔴 废卡。依赖编队且收益不可见，重做。</t>
        </is>
      </c>
    </row>
    <row r="37">
      <c r="A37" s="9" t="inlineStr">
        <is>
          <t>附魔</t>
        </is>
      </c>
      <c r="B37" s="9" t="inlineStr">
        <is>
          <t>共鸣强化</t>
        </is>
      </c>
      <c r="C37" s="9" t="inlineStr">
        <is>
          <t>稀有</t>
        </is>
      </c>
      <c r="D37" s="11" t="inlineStr">
        <is>
          <t>共鸣加成 1.4→1.6，1.8→2.2</t>
        </is>
      </c>
      <c r="E37" s="24" t="n">
        <v>11</v>
      </c>
      <c r="F37" s="11" t="inlineStr">
        <is>
          <t>✅ 合格（纯色队核心）。</t>
        </is>
      </c>
    </row>
    <row r="38">
      <c r="A38" s="9" t="inlineStr">
        <is>
          <t>附魔</t>
        </is>
      </c>
      <c r="B38" s="9" t="inlineStr">
        <is>
          <t>超载</t>
        </is>
      </c>
      <c r="C38" s="9" t="inlineStr">
        <is>
          <t>史诗</t>
        </is>
      </c>
      <c r="D38" s="11" t="inlineStr">
        <is>
          <t>大附魔品质 +1 级（512 视为 1024）</t>
        </is>
      </c>
      <c r="E38" s="24" t="n">
        <v>15</v>
      </c>
      <c r="F38" s="11" t="inlineStr">
        <is>
          <t>✅ 合格。★ 这是提高技术回报最直接的卡，可考虑提出现率。</t>
        </is>
      </c>
    </row>
    <row r="39">
      <c r="A39" s="9" t="inlineStr">
        <is>
          <t>附魔</t>
        </is>
      </c>
      <c r="B39" s="9" t="inlineStr">
        <is>
          <t>元素亲和 · X</t>
        </is>
      </c>
      <c r="C39" s="9" t="inlineStr">
        <is>
          <t>普通</t>
        </is>
      </c>
      <c r="D39" s="11" t="inlineStr">
        <is>
          <t>X 元素威力 +30%（六种各一张）</t>
        </is>
      </c>
      <c r="E39" s="24" t="n">
        <v>2.9</v>
      </c>
      <c r="F39" s="11" t="inlineStr">
        <is>
          <t>🟡 偏弱（只覆盖 1/6 的触发）。改为 +50%，或改「全元素 +15%」。</t>
        </is>
      </c>
    </row>
    <row r="40">
      <c r="A40" s="9" t="inlineStr">
        <is>
          <t>附魔</t>
        </is>
      </c>
      <c r="B40" s="9" t="inlineStr">
        <is>
          <t>双生</t>
        </is>
      </c>
      <c r="C40" s="9" t="inlineStr">
        <is>
          <t>史诗</t>
        </is>
      </c>
      <c r="D40" s="11" t="inlineStr">
        <is>
          <t>附魔时同时触发轮盘下一位元素，威力各 60%</t>
        </is>
      </c>
      <c r="E40" s="24" t="n">
        <v>12</v>
      </c>
      <c r="F40" s="11" t="inlineStr">
        <is>
          <t>✅ 合格。</t>
        </is>
      </c>
    </row>
    <row r="41">
      <c r="A41" s="9" t="inlineStr">
        <is>
          <t>附魔</t>
        </is>
      </c>
      <c r="B41" s="9" t="inlineStr">
        <is>
          <t>星爆</t>
        </is>
      </c>
      <c r="C41" s="9" t="inlineStr">
        <is>
          <t>传说</t>
        </is>
      </c>
      <c r="D41" s="11" t="inlineStr">
        <is>
          <t>2048 附魔威力 +100%，且必定暴击</t>
        </is>
      </c>
      <c r="E41" s="24" t="n">
        <v>6</v>
      </c>
      <c r="F41" s="11" t="inlineStr">
        <is>
          <t>🟡 看似传说实则情境（需先合到 2048）。建议叠加其他效果。</t>
        </is>
      </c>
    </row>
    <row r="42">
      <c r="A42" s="9" t="inlineStr">
        <is>
          <t>经济</t>
        </is>
      </c>
      <c r="B42" s="9" t="inlineStr">
        <is>
          <t>贪婪</t>
        </is>
      </c>
      <c r="C42" s="9" t="inlineStr">
        <is>
          <t>普通</t>
        </is>
      </c>
      <c r="D42" s="11" t="inlineStr">
        <is>
          <t>金币 +25%</t>
        </is>
      </c>
      <c r="E42" s="23" t="n">
        <v>0</v>
      </c>
      <c r="F42" s="11" t="inlineStr">
        <is>
          <t>🟡 战力点 0，与战斗卡同池时永远不选。移入独立经济池。</t>
        </is>
      </c>
    </row>
    <row r="43">
      <c r="A43" s="9" t="inlineStr">
        <is>
          <t>经济</t>
        </is>
      </c>
      <c r="B43" s="9" t="inlineStr">
        <is>
          <t>采集</t>
        </is>
      </c>
      <c r="C43" s="9" t="inlineStr">
        <is>
          <t>普通</t>
        </is>
      </c>
      <c r="D43" s="11" t="inlineStr">
        <is>
          <t>碎片产出 +50%</t>
        </is>
      </c>
      <c r="E43" s="23" t="n">
        <v>0</v>
      </c>
      <c r="F43" s="11" t="inlineStr">
        <is>
          <t>🟡 同上。移入独立经济池。</t>
        </is>
      </c>
    </row>
    <row r="44">
      <c r="A44" s="9" t="inlineStr">
        <is>
          <t>经济</t>
        </is>
      </c>
      <c r="B44" s="9" t="inlineStr">
        <is>
          <t>结晶</t>
        </is>
      </c>
      <c r="C44" s="9" t="inlineStr">
        <is>
          <t>稀有</t>
        </is>
      </c>
      <c r="D44" s="11" t="inlineStr">
        <is>
          <t>所有 CV × 1.15</t>
        </is>
      </c>
      <c r="E44" s="23" t="n">
        <v>0.3</v>
      </c>
      <c r="F44" s="11" t="inlineStr">
        <is>
          <t>🟡 同上。移入独立经济池。</t>
        </is>
      </c>
    </row>
    <row r="45">
      <c r="A45" s="9" t="inlineStr">
        <is>
          <t>经济</t>
        </is>
      </c>
      <c r="B45" s="9" t="inlineStr">
        <is>
          <t>升华</t>
        </is>
      </c>
      <c r="C45" s="9" t="inlineStr">
        <is>
          <t>稀有</t>
        </is>
      </c>
      <c r="D45" s="11" t="inlineStr">
        <is>
          <t>自动升华阈值降至 256</t>
        </is>
      </c>
      <c r="E45" s="24" t="n">
        <v>8</v>
      </c>
      <c r="F45" s="11" t="inlineStr">
        <is>
          <t>✅ 兑现流核心，有真实战力（腾盘面 + 提前变现）。可留在主池。</t>
        </is>
      </c>
    </row>
    <row r="46">
      <c r="A46" s="9" t="inlineStr">
        <is>
          <t>经济</t>
        </is>
      </c>
      <c r="B46" s="9" t="inlineStr">
        <is>
          <t>囤积</t>
        </is>
      </c>
      <c r="C46" s="9" t="inlineStr">
        <is>
          <t>史诗</t>
        </is>
      </c>
      <c r="D46" s="11" t="inlineStr">
        <is>
          <t>大招晶核消耗 −1，星核产出 +20%</t>
        </is>
      </c>
      <c r="E46" s="24" t="n">
        <v>4.5</v>
      </c>
      <c r="F46" s="11" t="inlineStr">
        <is>
          <t>🟡 偏弱。提高星核部分至 +35%。</t>
        </is>
      </c>
    </row>
    <row r="47">
      <c r="A47" s="9" t="inlineStr">
        <is>
          <t>战术</t>
        </is>
      </c>
      <c r="B47" s="9" t="inlineStr">
        <is>
          <t>时间膨胀</t>
        </is>
      </c>
      <c r="C47" s="9" t="inlineStr">
        <is>
          <t>稀有</t>
        </is>
      </c>
      <c r="D47" s="11" t="inlineStr">
        <is>
          <t>每波开始 +3 步</t>
        </is>
      </c>
      <c r="E47" s="24" t="n">
        <v>8.800000000000001</v>
      </c>
      <c r="F47" s="11" t="inlineStr">
        <is>
          <t>✅ 合格（等价于每波 +10% 步数）。</t>
        </is>
      </c>
    </row>
    <row r="48">
      <c r="A48" s="9" t="inlineStr">
        <is>
          <t>战术</t>
        </is>
      </c>
      <c r="B48" s="9" t="inlineStr">
        <is>
          <t>战术家</t>
        </is>
      </c>
      <c r="C48" s="9" t="inlineStr">
        <is>
          <t>普通</t>
        </is>
      </c>
      <c r="D48" s="11" t="inlineStr">
        <is>
          <t>星核产出 +30%</t>
        </is>
      </c>
      <c r="E48" s="23" t="n">
        <v>0.9</v>
      </c>
      <c r="F48" s="11" t="inlineStr">
        <is>
          <t>🟡 偏弱。救急能力难以量化，建议改为「战术指令冷却 −20%」。</t>
        </is>
      </c>
    </row>
    <row r="49">
      <c r="A49" s="9" t="inlineStr">
        <is>
          <t>战术</t>
        </is>
      </c>
      <c r="B49" s="9" t="inlineStr">
        <is>
          <t>急救</t>
        </is>
      </c>
      <c r="C49" s="9" t="inlineStr">
        <is>
          <t>稀有</t>
        </is>
      </c>
      <c r="D49" s="11" t="inlineStr">
        <is>
          <t>星枢 HP 首次低于 30% 时回复 40%</t>
        </is>
      </c>
      <c r="E49" s="24" t="n">
        <v>5</v>
      </c>
      <c r="F49" s="11" t="inlineStr">
        <is>
          <t>✅ 合格（一次性保险）。</t>
        </is>
      </c>
    </row>
    <row r="50">
      <c r="A50" s="9" t="inlineStr">
        <is>
          <t>战术</t>
        </is>
      </c>
      <c r="B50" s="9" t="inlineStr">
        <is>
          <t>备用核心</t>
        </is>
      </c>
      <c r="C50" s="9" t="inlineStr">
        <is>
          <t>史诗</t>
        </is>
      </c>
      <c r="D50" s="11" t="inlineStr">
        <is>
          <t>星枢归零时以 30% HP 复活一次</t>
        </is>
      </c>
      <c r="E50" s="24" t="n">
        <v>14</v>
      </c>
      <c r="F50" s="11" t="inlineStr">
        <is>
          <t>✅ 合格。★ 实际价值远高于描述 —— 它等价于把 B_FAIL 临时抬高，会改变继续/收工的期望值。</t>
        </is>
      </c>
    </row>
    <row r="51">
      <c r="A51" s="9" t="inlineStr">
        <is>
          <t>战术</t>
        </is>
      </c>
      <c r="B51" s="9" t="inlineStr">
        <is>
          <t>贪婪核心</t>
        </is>
      </c>
      <c r="C51" s="9" t="inlineStr">
        <is>
          <t>传说</t>
        </is>
      </c>
      <c r="D51" s="11" t="inlineStr">
        <is>
          <t>关闭自动升华</t>
        </is>
      </c>
      <c r="E51" s="24" t="n">
        <v>18</v>
      </c>
      <c r="F51" s="11" t="inlineStr">
        <is>
          <t>✅ 合格。高风险高回报的极限流开关，是升华机制的策略深度所在。</t>
        </is>
      </c>
    </row>
    <row r="53">
      <c r="A53" s="7" t="inlineStr">
        <is>
          <t>卡池当前 30 张（含 6 张元素亲和变体则共 35 张）。V2 完整版目标 ≥ 60 张，否则 4–6 关后卡池枯竭，构筑深度崩塌。</t>
        </is>
      </c>
    </row>
    <row r="54">
      <c r="A54" s="7" t="inlineStr">
        <is>
          <t>本次查出 4 张需删除/重做（丰饶、连锁核心、稳健、远眺）、2 张需升稀有度（充能加速、疾风）、1 张需降强度（共生）。处理后可用卡池约 26 张，需补充 34 张。</t>
        </is>
      </c>
    </row>
    <row r="55">
      <c r="A55" s="7" t="inlineStr">
        <is>
          <t>平衡红线：同名卡重复时效果加法叠加而非乘法，防止指数爆炸。若埋点显示某卡选取率 &gt; 70%，说明该卡超模或同类卡过少。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6" customWidth="1" min="3" max="3"/>
    <col width="46" customWidth="1" min="4" max="4"/>
  </cols>
  <sheetData>
    <row r="1">
      <c r="A1" s="1" t="inlineStr">
        <is>
          <t>继续 / 收工 期望值计算器</t>
        </is>
      </c>
    </row>
    <row r="2">
      <c r="A2" s="7" t="inlineStr">
        <is>
          <t>公式：收工 EV = P ｜ 继续 EV = p×(P+R) + (1−p)×b×P ｜ 继续优于收工 ⟺ p &gt; (1−b)P / ((1−b)P + R)</t>
        </is>
      </c>
    </row>
    <row r="3">
      <c r="A3" s="3" t="inlineStr">
        <is>
          <t>主计算</t>
        </is>
      </c>
    </row>
    <row r="4" ht="30" customHeight="1">
      <c r="A4" s="8" t="inlineStr">
        <is>
          <t>参数</t>
        </is>
      </c>
      <c r="B4" s="8" t="inlineStr">
        <is>
          <t>值</t>
        </is>
      </c>
      <c r="C4" s="8" t="inlineStr">
        <is>
          <t>说明</t>
        </is>
      </c>
    </row>
    <row r="5">
      <c r="A5" s="9" t="inlineStr">
        <is>
          <t>当前累积收益池 P</t>
        </is>
      </c>
      <c r="B5" s="25" t="n">
        <v>1000</v>
      </c>
      <c r="C5" s="9" t="inlineStr">
        <is>
          <t>任意单位。EV 结论与 P 的绝对值无关，只与 R/P 比例有关。</t>
        </is>
      </c>
    </row>
    <row r="6">
      <c r="A6" s="9" t="inlineStr">
        <is>
          <t>下一关预期收益 R</t>
        </is>
      </c>
      <c r="B6" s="26">
        <f>$B$5*'01_核心常量'!$D$57</f>
        <v/>
      </c>
      <c r="C6" s="9" t="inlineStr">
        <is>
          <t>R 与 P 成比例（R = P x R_RATIO）。R_RATIO 由关卡收益倍率递增推导。</t>
        </is>
      </c>
    </row>
    <row r="7">
      <c r="A7" s="9" t="inlineStr">
        <is>
          <t>失败保底比例 b</t>
        </is>
      </c>
      <c r="B7" s="27">
        <f>'01_核心常量'!$D$56</f>
        <v/>
      </c>
      <c r="C7" s="9" t="inlineStr">
        <is>
          <t>引用 01 核心常量 B_FAIL。</t>
        </is>
      </c>
    </row>
    <row r="8">
      <c r="A8" s="9" t="inlineStr">
        <is>
          <t>玩家自估通关概率 p</t>
        </is>
      </c>
      <c r="B8" s="28" t="n">
        <v>0.6</v>
      </c>
      <c r="C8" s="9" t="inlineStr">
        <is>
          <t>玩家主观判断。设计目标是让临界阈值足够低，从而鼓励冒险。</t>
        </is>
      </c>
    </row>
    <row r="10" ht="30" customHeight="1">
      <c r="A10" s="8" t="inlineStr">
        <is>
          <t>指标</t>
        </is>
      </c>
      <c r="B10" s="8" t="inlineStr">
        <is>
          <t>值</t>
        </is>
      </c>
      <c r="C10" s="8" t="inlineStr">
        <is>
          <t>说明</t>
        </is>
      </c>
    </row>
    <row r="11">
      <c r="A11" s="9" t="inlineStr">
        <is>
          <t>收工 EV</t>
        </is>
      </c>
      <c r="B11" s="14">
        <f>$B$5</f>
        <v/>
      </c>
      <c r="C11" s="9" t="inlineStr">
        <is>
          <t>确定性收益。</t>
        </is>
      </c>
    </row>
    <row r="12">
      <c r="A12" s="9" t="inlineStr">
        <is>
          <t>继续 EV</t>
        </is>
      </c>
      <c r="B12" s="14">
        <f>$B$8*($B$5+$B$6)+(1-$B$8)*$B$7*$B$5</f>
        <v/>
      </c>
      <c r="C12" s="9" t="inlineStr">
        <is>
          <t>p×(P+R) + (1−p)×b×P    （b = 保底返还比例）</t>
        </is>
      </c>
    </row>
    <row r="13">
      <c r="A13" s="9" t="inlineStr">
        <is>
          <t>EV 差值（继续 − 收工）</t>
        </is>
      </c>
      <c r="B13" s="29">
        <f>$B$12-$B$11</f>
        <v/>
      </c>
      <c r="C13" s="9" t="inlineStr">
        <is>
          <t>&gt; 0 表示理性上应该选择继续。</t>
        </is>
      </c>
    </row>
    <row r="14">
      <c r="A14" s="9" t="inlineStr">
        <is>
          <t>临界通关概率 p*</t>
        </is>
      </c>
      <c r="B14" s="30">
        <f>(1-$B$7)*$B$5/((1-$B$7)*$B$5+$B$6)</f>
        <v/>
      </c>
      <c r="C14" s="9" t="inlineStr">
        <is>
          <t>★ p &gt; p* 时继续是正期望。这是整个风险系统的核心数字。</t>
        </is>
      </c>
    </row>
    <row r="16">
      <c r="A16" s="3" t="inlineStr">
        <is>
          <t>保底比例 b 的敏感性分析（★ 冒险倾向主旋钮）</t>
        </is>
      </c>
    </row>
    <row r="17" ht="30" customHeight="1">
      <c r="A17" s="8" t="inlineStr">
        <is>
          <t>保底 b</t>
        </is>
      </c>
      <c r="B17" s="8" t="inlineStr">
        <is>
          <t>临界概率 p*</t>
        </is>
      </c>
      <c r="C17" s="8" t="inlineStr">
        <is>
          <t>玩家行为预测</t>
        </is>
      </c>
      <c r="D17" s="8" t="inlineStr">
        <is>
          <t>适用产品目标</t>
        </is>
      </c>
    </row>
    <row r="18">
      <c r="A18" s="21" t="n">
        <v>0</v>
      </c>
      <c r="B18" s="31">
        <f>(1-A18)/((1-A18)+'01_核心常量'!$D$57)</f>
        <v/>
      </c>
      <c r="C18" s="11" t="inlineStr">
        <is>
          <t>极度保守，玩家会提前收工</t>
        </is>
      </c>
      <c r="D18" s="11" t="inlineStr">
        <is>
          <t>硬核产品，追求策略纯度</t>
        </is>
      </c>
    </row>
    <row r="19">
      <c r="A19" s="21" t="n">
        <v>0.2</v>
      </c>
      <c r="B19" s="31">
        <f>(1-A19)/((1-A19)+'01_核心常量'!$D$57)</f>
        <v/>
      </c>
      <c r="C19" s="11" t="inlineStr">
        <is>
          <t>偏保守，多数玩家 3–4 关收工</t>
        </is>
      </c>
      <c r="D19" s="11" t="inlineStr">
        <is>
          <t>中核产品，单局时长可控</t>
        </is>
      </c>
    </row>
    <row r="20">
      <c r="A20" s="21" t="n">
        <v>0.3</v>
      </c>
      <c r="B20" s="31">
        <f>(1-A20)/((1-A20)+'01_核心常量'!$D$57)</f>
        <v/>
      </c>
      <c r="C20" s="11" t="inlineStr">
        <is>
          <t>略保守</t>
        </is>
      </c>
      <c r="D20" s="11" t="inlineStr">
        <is>
          <t>—</t>
        </is>
      </c>
    </row>
    <row r="21">
      <c r="A21" s="28" t="n">
        <v>0.4</v>
      </c>
      <c r="B21" s="32">
        <f>(1-A21)/((1-A21)+'01_核心常量'!$D$57)</f>
        <v/>
      </c>
      <c r="C21" s="33" t="inlineStr">
        <is>
          <t>★ 平衡点，决策有张力</t>
        </is>
      </c>
      <c r="D21" s="33" t="inlineStr">
        <is>
          <t>★ 推荐：H5 休闲偏中核</t>
        </is>
      </c>
    </row>
    <row r="22">
      <c r="A22" s="21" t="n">
        <v>0.5</v>
      </c>
      <c r="B22" s="31">
        <f>(1-A22)/((1-A22)+'01_核心常量'!$D$57)</f>
        <v/>
      </c>
      <c r="C22" s="11" t="inlineStr">
        <is>
          <t>略激进</t>
        </is>
      </c>
      <c r="D22" s="11" t="inlineStr">
        <is>
          <t>—</t>
        </is>
      </c>
    </row>
    <row r="23">
      <c r="A23" s="21" t="n">
        <v>0.6</v>
      </c>
      <c r="B23" s="31">
        <f>(1-A23)/((1-A23)+'01_核心常量'!$D$57)</f>
        <v/>
      </c>
      <c r="C23" s="11" t="inlineStr">
        <is>
          <t>激进，玩家几乎不主动收工</t>
        </is>
      </c>
      <c r="D23" s="11" t="inlineStr">
        <is>
          <t>追求高重开率与广告曝光</t>
        </is>
      </c>
    </row>
    <row r="24">
      <c r="A24" s="21" t="n">
        <v>0.8</v>
      </c>
      <c r="B24" s="31">
        <f>(1-A24)/((1-A24)+'01_核心常量'!$D$57)</f>
        <v/>
      </c>
      <c r="C24" s="11" t="inlineStr">
        <is>
          <t>极度激进，收工按钮形同虚设</t>
        </is>
      </c>
      <c r="D24" s="11" t="inlineStr">
        <is>
          <t>纯广告变现产品</t>
        </is>
      </c>
    </row>
    <row r="25">
      <c r="A25" s="21" t="n">
        <v>1</v>
      </c>
      <c r="B25" s="31">
        <f>(1-A25)/((1-A25)+'01_核心常量'!$D$57)</f>
        <v/>
      </c>
      <c r="C25" s="11" t="inlineStr">
        <is>
          <t>无风险，继续永远最优</t>
        </is>
      </c>
      <c r="D25" s="11" t="inlineStr">
        <is>
          <t>决策消失，不推荐</t>
        </is>
      </c>
    </row>
    <row r="27">
      <c r="A27" s="7" t="inlineStr">
        <is>
          <t>【关键洞察】保底比例 b 从 0.2 提到 0.6，临界概率从 50% 降到 33% —— 玩家会明显更爱冒险。这是调节「重开率」最廉价的旋钮，优先用它做 A/B 测。</t>
        </is>
      </c>
    </row>
    <row r="28">
      <c r="A28" s="7" t="inlineStr">
        <is>
          <t>★【隐藏的美妙性质】R/P 比例随关卡自然变化：第 2 关约 1.55（p*≈28%，极度鼓励冒险）→ 第 6 关约 0.53（p*≈53%，必须谨慎）。游戏在早期自动怂恿冒进、后期自动转为审慎 —— 这是收益倍率递增结构带来的免费礼物，不要在调参时破坏它。</t>
        </is>
      </c>
    </row>
    <row r="29">
      <c r="A29" s="7" t="inlineStr">
        <is>
          <t>【注意】卡牌「备用核心」等价于把 b 临时抬高，会显著改变持有该卡时的决策。它的实际价值远高于描述（战力点 14，但决策价值另计）。</t>
        </is>
      </c>
    </row>
    <row r="30">
      <c r="A30" s="2" t="inlineStr">
        <is>
          <t>★【v0.2 商业化约束】广告复活只保留 50% 收益池，不能是 100%。否则玩家把「失败」当正常流程，43% 的临界概率会失效，继续/收工的张力消失。</t>
        </is>
      </c>
    </row>
    <row r="31">
      <c r="A31" s="7" t="inlineStr">
        <is>
          <t>【UI 强制要求】关卡结算界面必须同屏显示：当前池 / 下一关倍率与威胁等级 / 继续的预估收益 +R / 失败保底规则 / ★新增：当前棋盘缩略图 + 升华按钮（因为棋盘跨关保留，玩家必须看到自己携带的资产）。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8" customWidth="1" min="6" max="6"/>
    <col width="32" customWidth="1" min="7" max="7"/>
  </cols>
  <sheetData>
    <row r="1">
      <c r="A1" s="1" t="inlineStr">
        <is>
          <t>星尘养成树与花园产出模型</t>
        </is>
      </c>
    </row>
    <row r="2">
      <c r="A2" s="3" t="inlineStr">
        <is>
          <t>养成树成本模型</t>
        </is>
      </c>
    </row>
    <row r="3">
      <c r="A3" s="7" t="inlineStr">
        <is>
          <t>成本公式：Cost(n) = 基础成本 × 增长系数^(n−1)</t>
        </is>
      </c>
    </row>
    <row r="4" ht="30" customHeight="1">
      <c r="A4" s="8" t="inlineStr">
        <is>
          <t>等级</t>
        </is>
      </c>
      <c r="B4" s="8" t="inlineStr">
        <is>
          <t>单级成本(星尘)</t>
        </is>
      </c>
      <c r="C4" s="8" t="inlineStr">
        <is>
          <t>累计成本</t>
        </is>
      </c>
      <c r="D4" s="8" t="inlineStr">
        <is>
          <t>根系效果</t>
        </is>
      </c>
      <c r="E4" s="8" t="inlineStr">
        <is>
          <t>枝叶效果</t>
        </is>
      </c>
      <c r="F4" s="8" t="inlineStr">
        <is>
          <t>花蕾效果</t>
        </is>
      </c>
      <c r="G4" s="8" t="inlineStr">
        <is>
          <t>果实效果</t>
        </is>
      </c>
    </row>
    <row r="5">
      <c r="A5" s="9" t="n">
        <v>1</v>
      </c>
      <c r="B5" s="26">
        <f>ROUND('01_核心常量'!$D$59*'01_核心常量'!$D$60^(A5-1),0)</f>
        <v/>
      </c>
      <c r="C5" s="26">
        <f>B5</f>
        <v/>
      </c>
      <c r="D5" s="9" t="inlineStr">
        <is>
          <t>步数+0.2 / 回复+3% / 充能条−2%</t>
        </is>
      </c>
      <c r="E5" s="9" t="inlineStr">
        <is>
          <t>植物伤害+3% / 星枢HP+4%</t>
        </is>
      </c>
      <c r="F5" s="9" t="inlineStr">
        <is>
          <t>全元素威力+4%</t>
        </is>
      </c>
      <c r="G5" s="9" t="inlineStr">
        <is>
          <t>金币+4% / 碎片+6% / 花园产出+5%</t>
        </is>
      </c>
    </row>
    <row r="6">
      <c r="A6" s="9" t="n">
        <v>2</v>
      </c>
      <c r="B6" s="26">
        <f>ROUND('01_核心常量'!$D$59*'01_核心常量'!$D$60^(A6-1),0)</f>
        <v/>
      </c>
      <c r="C6" s="26">
        <f>C5+B6</f>
        <v/>
      </c>
      <c r="D6" s="9" t="inlineStr">
        <is>
          <t>步数+0.2 / 回复+3% / 充能条−2%</t>
        </is>
      </c>
      <c r="E6" s="9" t="inlineStr">
        <is>
          <t>植物伤害+3% / 星枢HP+4%</t>
        </is>
      </c>
      <c r="F6" s="9" t="inlineStr">
        <is>
          <t>全元素威力+4%</t>
        </is>
      </c>
      <c r="G6" s="9" t="inlineStr">
        <is>
          <t>金币+4% / 碎片+6% / 花园产出+5%</t>
        </is>
      </c>
    </row>
    <row r="7">
      <c r="A7" s="9" t="n">
        <v>3</v>
      </c>
      <c r="B7" s="26">
        <f>ROUND('01_核心常量'!$D$59*'01_核心常量'!$D$60^(A7-1),0)</f>
        <v/>
      </c>
      <c r="C7" s="26">
        <f>C6+B7</f>
        <v/>
      </c>
      <c r="D7" s="9" t="inlineStr">
        <is>
          <t>步数+0.2 / 回复+3% / 充能条−2%</t>
        </is>
      </c>
      <c r="E7" s="9" t="inlineStr">
        <is>
          <t>植物伤害+3% / 星枢HP+4%</t>
        </is>
      </c>
      <c r="F7" s="9" t="inlineStr">
        <is>
          <t>全元素威力+4%</t>
        </is>
      </c>
      <c r="G7" s="9" t="inlineStr">
        <is>
          <t>金币+4% / 碎片+6% / 花园产出+5%</t>
        </is>
      </c>
    </row>
    <row r="8">
      <c r="A8" s="9" t="n">
        <v>4</v>
      </c>
      <c r="B8" s="26">
        <f>ROUND('01_核心常量'!$D$59*'01_核心常量'!$D$60^(A8-1),0)</f>
        <v/>
      </c>
      <c r="C8" s="26">
        <f>C7+B8</f>
        <v/>
      </c>
      <c r="D8" s="9" t="inlineStr">
        <is>
          <t>步数+0.2 / 回复+3% / 充能条−2%</t>
        </is>
      </c>
      <c r="E8" s="9" t="inlineStr">
        <is>
          <t>植物伤害+3% / 星枢HP+4%</t>
        </is>
      </c>
      <c r="F8" s="9" t="inlineStr">
        <is>
          <t>全元素威力+4%</t>
        </is>
      </c>
      <c r="G8" s="9" t="inlineStr">
        <is>
          <t>金币+4% / 碎片+6% / 花园产出+5%</t>
        </is>
      </c>
    </row>
    <row r="9">
      <c r="A9" s="9" t="n">
        <v>5</v>
      </c>
      <c r="B9" s="26">
        <f>ROUND('01_核心常量'!$D$59*'01_核心常量'!$D$60^(A9-1),0)</f>
        <v/>
      </c>
      <c r="C9" s="26">
        <f>C8+B9</f>
        <v/>
      </c>
      <c r="D9" s="9" t="inlineStr">
        <is>
          <t>步数+0.2 / 回复+3% / 充能条−2%</t>
        </is>
      </c>
      <c r="E9" s="9" t="inlineStr">
        <is>
          <t>植物伤害+3% / 星枢HP+4%</t>
        </is>
      </c>
      <c r="F9" s="9" t="inlineStr">
        <is>
          <t>全元素威力+4%</t>
        </is>
      </c>
      <c r="G9" s="9" t="inlineStr">
        <is>
          <t>金币+4% / 碎片+6% / 花园产出+5%</t>
        </is>
      </c>
    </row>
    <row r="10">
      <c r="A10" s="9" t="n">
        <v>6</v>
      </c>
      <c r="B10" s="26">
        <f>ROUND('01_核心常量'!$D$59*'01_核心常量'!$D$60^(A10-1),0)</f>
        <v/>
      </c>
      <c r="C10" s="26">
        <f>C9+B10</f>
        <v/>
      </c>
      <c r="D10" s="9" t="inlineStr">
        <is>
          <t>步数+0.2 / 回复+3% / 充能条−2%</t>
        </is>
      </c>
      <c r="E10" s="9" t="inlineStr">
        <is>
          <t>植物伤害+3% / 星枢HP+4%</t>
        </is>
      </c>
      <c r="F10" s="9" t="inlineStr">
        <is>
          <t>全元素威力+4%</t>
        </is>
      </c>
      <c r="G10" s="9" t="inlineStr">
        <is>
          <t>金币+4% / 碎片+6% / 花园产出+5%</t>
        </is>
      </c>
    </row>
    <row r="11">
      <c r="A11" s="9" t="n">
        <v>7</v>
      </c>
      <c r="B11" s="26">
        <f>ROUND('01_核心常量'!$D$59*'01_核心常量'!$D$60^(A11-1),0)</f>
        <v/>
      </c>
      <c r="C11" s="26">
        <f>C10+B11</f>
        <v/>
      </c>
      <c r="D11" s="9" t="inlineStr">
        <is>
          <t>步数+0.2 / 回复+3% / 充能条−2%</t>
        </is>
      </c>
      <c r="E11" s="9" t="inlineStr">
        <is>
          <t>植物伤害+3% / 星枢HP+4%</t>
        </is>
      </c>
      <c r="F11" s="9" t="inlineStr">
        <is>
          <t>全元素威力+4%</t>
        </is>
      </c>
      <c r="G11" s="9" t="inlineStr">
        <is>
          <t>金币+4% / 碎片+6% / 花园产出+5%</t>
        </is>
      </c>
    </row>
    <row r="12">
      <c r="A12" s="9" t="n">
        <v>8</v>
      </c>
      <c r="B12" s="26">
        <f>ROUND('01_核心常量'!$D$59*'01_核心常量'!$D$60^(A12-1),0)</f>
        <v/>
      </c>
      <c r="C12" s="26">
        <f>C11+B12</f>
        <v/>
      </c>
      <c r="D12" s="9" t="inlineStr">
        <is>
          <t>步数+0.2 / 回复+3% / 充能条−2%</t>
        </is>
      </c>
      <c r="E12" s="9" t="inlineStr">
        <is>
          <t>植物伤害+3% / 星枢HP+4%</t>
        </is>
      </c>
      <c r="F12" s="9" t="inlineStr">
        <is>
          <t>全元素威力+4%</t>
        </is>
      </c>
      <c r="G12" s="9" t="inlineStr">
        <is>
          <t>金币+4% / 碎片+6% / 花园产出+5%</t>
        </is>
      </c>
    </row>
    <row r="13">
      <c r="A13" s="9" t="n">
        <v>9</v>
      </c>
      <c r="B13" s="26">
        <f>ROUND('01_核心常量'!$D$59*'01_核心常量'!$D$60^(A13-1),0)</f>
        <v/>
      </c>
      <c r="C13" s="26">
        <f>C12+B13</f>
        <v/>
      </c>
      <c r="D13" s="9" t="inlineStr">
        <is>
          <t>步数+0.2 / 回复+3% / 充能条−2%</t>
        </is>
      </c>
      <c r="E13" s="9" t="inlineStr">
        <is>
          <t>植物伤害+3% / 星枢HP+4%</t>
        </is>
      </c>
      <c r="F13" s="9" t="inlineStr">
        <is>
          <t>全元素威力+4%</t>
        </is>
      </c>
      <c r="G13" s="9" t="inlineStr">
        <is>
          <t>金币+4% / 碎片+6% / 花园产出+5%</t>
        </is>
      </c>
    </row>
    <row r="14">
      <c r="A14" s="9" t="n">
        <v>10</v>
      </c>
      <c r="B14" s="26">
        <f>ROUND('01_核心常量'!$D$59*'01_核心常量'!$D$60^(A14-1),0)</f>
        <v/>
      </c>
      <c r="C14" s="26">
        <f>C13+B14</f>
        <v/>
      </c>
      <c r="D14" s="9" t="inlineStr">
        <is>
          <t>步数+0.2 / 回复+3% / 充能条−2%</t>
        </is>
      </c>
      <c r="E14" s="9" t="inlineStr">
        <is>
          <t>植物伤害+3% / 星枢HP+4%</t>
        </is>
      </c>
      <c r="F14" s="9" t="inlineStr">
        <is>
          <t>全元素威力+4%</t>
        </is>
      </c>
      <c r="G14" s="9" t="inlineStr">
        <is>
          <t>金币+4% / 碎片+6% / 花园产出+5%</t>
        </is>
      </c>
    </row>
    <row r="15">
      <c r="A15" s="34" t="inlineStr">
        <is>
          <t>满级合计</t>
        </is>
      </c>
      <c r="C15" s="35">
        <f>SUM(B5:B14)*4</f>
        <v/>
      </c>
      <c r="D15" s="34" t="inlineStr">
        <is>
          <t>4 分支 × 单分支累计</t>
        </is>
      </c>
    </row>
    <row r="17">
      <c r="A17" s="7" t="inlineStr">
        <is>
          <t>【当前配置】基础 40 / 增长 1.30 → 单分支满级约 1,705 星尘，全树约 6,820 星尘。早期花园产出 200–500/天，后期 2,000+/天 → 约 3–5 周长线目标。</t>
        </is>
      </c>
    </row>
    <row r="18">
      <c r="A18" s="7" t="inlineStr">
        <is>
          <t>【调参方向】H5 休闲产品建议长线不超过 4 周。若超长，把增长系数降到 1.25（全树约 5,300）；若希望更长线支撑赛季，升到 1.35。</t>
        </is>
      </c>
    </row>
    <row r="20">
      <c r="A20" s="3" t="inlineStr">
        <is>
          <t>花园产出模型</t>
        </is>
      </c>
    </row>
    <row r="21" ht="30" customHeight="1">
      <c r="A21" s="8" t="inlineStr">
        <is>
          <t>稀有度</t>
        </is>
      </c>
      <c r="B21" s="8" t="inlineStr">
        <is>
          <t>星尘/小时(基)</t>
        </is>
      </c>
      <c r="C21" s="8" t="inlineStr">
        <is>
          <t>30min</t>
        </is>
      </c>
      <c r="D21" s="8" t="inlineStr">
        <is>
          <t>2h</t>
        </is>
      </c>
      <c r="E21" s="8" t="inlineStr">
        <is>
          <t>6h</t>
        </is>
      </c>
      <c r="F21" s="8" t="inlineStr">
        <is>
          <t>6 盆全传说/6h</t>
        </is>
      </c>
    </row>
    <row r="22">
      <c r="A22" s="9" t="inlineStr">
        <is>
          <t>普通</t>
        </is>
      </c>
      <c r="B22" s="25" t="n">
        <v>8</v>
      </c>
      <c r="C22" s="17">
        <f>B22*0.5</f>
        <v/>
      </c>
      <c r="D22" s="17">
        <f>B22*2</f>
        <v/>
      </c>
      <c r="E22" s="17">
        <f>B22*6</f>
        <v/>
      </c>
      <c r="F22" s="14">
        <f>B22*6*6</f>
        <v/>
      </c>
    </row>
    <row r="23">
      <c r="A23" s="9" t="inlineStr">
        <is>
          <t>稀有</t>
        </is>
      </c>
      <c r="B23" s="25" t="n">
        <v>15</v>
      </c>
      <c r="C23" s="17">
        <f>B23*0.5</f>
        <v/>
      </c>
      <c r="D23" s="17">
        <f>B23*2</f>
        <v/>
      </c>
      <c r="E23" s="17">
        <f>B23*6</f>
        <v/>
      </c>
      <c r="F23" s="14">
        <f>B23*6*6</f>
        <v/>
      </c>
    </row>
    <row r="24">
      <c r="A24" s="9" t="inlineStr">
        <is>
          <t>史诗</t>
        </is>
      </c>
      <c r="B24" s="25" t="n">
        <v>28</v>
      </c>
      <c r="C24" s="17">
        <f>B24*0.5</f>
        <v/>
      </c>
      <c r="D24" s="17">
        <f>B24*2</f>
        <v/>
      </c>
      <c r="E24" s="17">
        <f>B24*6</f>
        <v/>
      </c>
      <c r="F24" s="14">
        <f>B24*6*6</f>
        <v/>
      </c>
    </row>
    <row r="25">
      <c r="A25" s="9" t="inlineStr">
        <is>
          <t>传说</t>
        </is>
      </c>
      <c r="B25" s="25" t="n">
        <v>50</v>
      </c>
      <c r="C25" s="17">
        <f>B25*0.5</f>
        <v/>
      </c>
      <c r="D25" s="17">
        <f>B25*2</f>
        <v/>
      </c>
      <c r="E25" s="17">
        <f>B25*6</f>
        <v/>
      </c>
      <c r="F25" s="14">
        <f>B25*6*6</f>
        <v/>
      </c>
    </row>
    <row r="27">
      <c r="A27" s="7" t="inlineStr">
        <is>
          <t>产出速率 = 稀有度基础 × (1 + 星级×0.1) × (1 + 养成树果实分支等级×0.05)</t>
        </is>
      </c>
    </row>
    <row r="28">
      <c r="A28" s="7" t="inlineStr">
        <is>
          <t>离线计时上限 12 小时（防纯挂机，同时保证次日回归有收益 → 这是次留的核心钩子）。</t>
        </is>
      </c>
    </row>
    <row r="29">
      <c r="A29" s="7" t="inlineStr">
        <is>
          <t>花盆：初始 2，最多 6。金币解锁成本 5,000 / 20,000 / 60,000 / 150,000。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4" customWidth="1" min="3" max="3"/>
    <col width="34" customWidth="1" min="4" max="4"/>
    <col width="42" customWidth="1" min="5" max="5"/>
  </cols>
  <sheetData>
    <row r="1">
      <c r="A1" s="1" t="inlineStr">
        <is>
          <t>平衡目标与 Broken 判定标准 —— playtest 前必读（v0.2 更新）</t>
        </is>
      </c>
    </row>
    <row r="2">
      <c r="A2" s="7" t="inlineStr">
        <is>
          <t>原则：先定义「什么算坏」，才能在 playtest 中认出它。所有阈值在此表预先约定，不做事后解释。</t>
        </is>
      </c>
    </row>
    <row r="4">
      <c r="A4" s="3" t="inlineStr">
        <is>
          <t>健康指标（埋点目标）★ 灰色行为 v0.2 修订/新增项</t>
        </is>
      </c>
    </row>
    <row r="5" ht="30" customHeight="1">
      <c r="A5" s="8" t="inlineStr">
        <is>
          <t>类别</t>
        </is>
      </c>
      <c r="B5" s="8" t="inlineStr">
        <is>
          <t>指标</t>
        </is>
      </c>
      <c r="C5" s="8" t="inlineStr">
        <is>
          <t>目标区间</t>
        </is>
      </c>
      <c r="D5" s="8" t="inlineStr">
        <is>
          <t>低于下限的处置</t>
        </is>
      </c>
      <c r="E5" s="8" t="inlineStr">
        <is>
          <t>高于上限的处置</t>
        </is>
      </c>
    </row>
    <row r="6">
      <c r="A6" s="9" t="inlineStr">
        <is>
          <t>节奏</t>
        </is>
      </c>
      <c r="B6" s="9" t="inlineStr">
        <is>
          <t>每波步数消耗</t>
        </is>
      </c>
      <c r="C6" s="11" t="inlineStr">
        <is>
          <t>25 – 32 步</t>
        </is>
      </c>
      <c r="D6" s="11" t="inlineStr">
        <is>
          <t>步数回复过快或玩家不积极 → 降低回复速率</t>
        </is>
      </c>
      <c r="E6" s="11" t="inlineStr">
        <is>
          <t>步数不够用 → 提高回复速率</t>
        </is>
      </c>
    </row>
    <row r="7">
      <c r="A7" s="9" t="inlineStr">
        <is>
          <t>节奏</t>
        </is>
      </c>
      <c r="B7" s="9" t="inlineStr">
        <is>
          <t>每波合成次数</t>
        </is>
      </c>
      <c r="C7" s="11" t="inlineStr">
        <is>
          <t>25 – 30 次</t>
        </is>
      </c>
      <c r="D7" s="11" t="inlineStr">
        <is>
          <t>棋盘太挤 → 提升生成分层</t>
        </is>
      </c>
      <c r="E7" s="11" t="inlineStr">
        <is>
          <t>棋盘过于宽松 → 提升难度</t>
        </is>
      </c>
    </row>
    <row r="8">
      <c r="A8" s="9" t="inlineStr">
        <is>
          <t>节奏</t>
        </is>
      </c>
      <c r="B8" s="9" t="inlineStr">
        <is>
          <t>每波小附魔触发</t>
        </is>
      </c>
      <c r="C8" s="11" t="inlineStr">
        <is>
          <t>1.2 – 1.8 次</t>
        </is>
      </c>
      <c r="D8" s="11" t="inlineStr">
        <is>
          <t>★ v0.2 刻意降频（原 3–4）。低于 1.2 → 降 CHARGE_MAX</t>
        </is>
      </c>
      <c r="E8" s="11" t="inlineStr">
        <is>
          <t>高于 1.8 → 升 CHARGE_MAX。注意：频率过高会挤压超载的输出份额， destroys 技术回报</t>
        </is>
      </c>
    </row>
    <row r="9">
      <c r="A9" s="9" t="inlineStr">
        <is>
          <t>节奏</t>
        </is>
      </c>
      <c r="B9" s="9" t="inlineStr">
        <is>
          <t>每波战术指令使用</t>
        </is>
      </c>
      <c r="C9" s="11" t="inlineStr">
        <is>
          <t>0.8 – 1.5 次</t>
        </is>
      </c>
      <c r="D9" s="11" t="inlineStr">
        <is>
          <t>星核产出不足 → 提高 K_STAR</t>
        </is>
      </c>
      <c r="E9" s="11" t="inlineStr">
        <is>
          <t>指令续命 → 降低 K_STAR（&gt;2 必须处理）</t>
        </is>
      </c>
    </row>
    <row r="10">
      <c r="A10" s="9" t="inlineStr">
        <is>
          <t>难度</t>
        </is>
      </c>
      <c r="B10" s="9" t="inlineStr">
        <is>
          <t>平均到达关卡</t>
        </is>
      </c>
      <c r="C10" s="11" t="inlineStr">
        <is>
          <t>4 – 6 关</t>
        </is>
      </c>
      <c r="D10" s="11" t="inlineStr">
        <is>
          <t>难度过高 → 降低 HP_BASE 至 1.50</t>
        </is>
      </c>
      <c r="E10" s="11" t="inlineStr">
        <is>
          <t>难度过低 → 升高 HP_BASE 至 1.60</t>
        </is>
      </c>
    </row>
    <row r="11">
      <c r="A11" s="9" t="inlineStr">
        <is>
          <t>难度</t>
        </is>
      </c>
      <c r="B11" s="9" t="inlineStr">
        <is>
          <t>第 1 关失败率</t>
        </is>
      </c>
      <c r="C11" s="11" t="inlineStr">
        <is>
          <t>&lt; 5%</t>
        </is>
      </c>
      <c r="D11" s="11" t="inlineStr">
        <is>
          <t>—（达标即可）</t>
        </is>
      </c>
      <c r="E11" s="11" t="inlineStr">
        <is>
          <t>教学波设计失败，需重做波次组成</t>
        </is>
      </c>
    </row>
    <row r="12">
      <c r="A12" s="9" t="inlineStr">
        <is>
          <t>难度</t>
        </is>
      </c>
      <c r="B12" s="9" t="inlineStr">
        <is>
          <t>无养成新手到达</t>
        </is>
      </c>
      <c r="C12" s="11" t="inlineStr">
        <is>
          <t>4 关</t>
        </is>
      </c>
      <c r="D12" s="11" t="inlineStr">
        <is>
          <t>新手挫败 → 前 2 关波次时长 +10s</t>
        </is>
      </c>
      <c r="E12" s="11" t="inlineStr">
        <is>
          <t>元游戏无意义 → 前期难度上调</t>
        </is>
      </c>
    </row>
    <row r="13">
      <c r="A13" s="9" t="inlineStr">
        <is>
          <t>难度</t>
        </is>
      </c>
      <c r="B13" s="9" t="inlineStr">
        <is>
          <t>满养成高手到达</t>
        </is>
      </c>
      <c r="C13" s="11" t="inlineStr">
        <is>
          <t>9 – 11 关</t>
        </is>
      </c>
      <c r="D13" s="11" t="inlineStr">
        <is>
          <t>长线目标不足 → 提高养成上限</t>
        </is>
      </c>
      <c r="E13" s="11" t="inlineStr">
        <is>
          <t>养成碾压 → 压缩 STAR_MULT / LV_MULT / SLOT_EFF</t>
        </is>
      </c>
    </row>
    <row r="14">
      <c r="A14" s="9" t="inlineStr">
        <is>
          <t>难度</t>
        </is>
      </c>
      <c r="B14" s="9" t="inlineStr">
        <is>
          <t>收工关卡众数</t>
        </is>
      </c>
      <c r="C14" s="11" t="inlineStr">
        <is>
          <t>第 4 – 6 关</t>
        </is>
      </c>
      <c r="D14" s="11" t="inlineStr">
        <is>
          <t>玩家不敢冒险 → 提高保底 b</t>
        </is>
      </c>
      <c r="E14" s="11" t="inlineStr">
        <is>
          <t>玩家不敢收工 → 降低保底 b</t>
        </is>
      </c>
    </row>
    <row r="15">
      <c r="A15" s="9" t="inlineStr">
        <is>
          <t>留存</t>
        </is>
      </c>
      <c r="B15" s="9" t="inlineStr">
        <is>
          <t>单局时长</t>
        </is>
      </c>
      <c r="C15" s="11" t="inlineStr">
        <is>
          <t>12 – 20 分钟</t>
        </is>
      </c>
      <c r="D15" s="11" t="inlineStr">
        <is>
          <t>内容不足 → 增加波数</t>
        </is>
      </c>
      <c r="E15" s="11" t="inlineStr">
        <is>
          <t>★ 疲劳 → 把 WAVE_N 从 5 压到 4（H5 休闲基准是 3–5 分钟）</t>
        </is>
      </c>
    </row>
    <row r="16">
      <c r="A16" s="9" t="inlineStr">
        <is>
          <t>健康</t>
        </is>
      </c>
      <c r="B16" s="9" t="inlineStr">
        <is>
          <t>棋盘卡死触发率</t>
        </is>
      </c>
      <c r="C16" s="11" t="inlineStr">
        <is>
          <t>&lt; 3%</t>
        </is>
      </c>
      <c r="D16" s="11" t="inlineStr">
        <is>
          <t>—（达标即可）</t>
        </is>
      </c>
      <c r="E16" s="11" t="inlineStr">
        <is>
          <t>棋盘太小或生成算法有问题，需修伪随机</t>
        </is>
      </c>
    </row>
    <row r="17">
      <c r="A17" s="36" t="inlineStr">
        <is>
          <t>★新版</t>
        </is>
      </c>
      <c r="B17" s="36" t="inlineStr">
        <is>
          <t>输出占比（附魔 : 植物）</t>
        </is>
      </c>
      <c r="C17" s="37" t="inlineStr">
        <is>
          <t>60 : 40（±5）</t>
        </is>
      </c>
      <c r="D17" s="37" t="inlineStr">
        <is>
          <t>植物 &gt; 50% → 支柱 P2 失守，再降 PLANT_DPS</t>
        </is>
      </c>
      <c r="E17" s="37" t="inlineStr">
        <is>
          <t>植物 &lt; 30% → 植物沦为摆设，回调 PLANT_DPS</t>
        </is>
      </c>
    </row>
    <row r="18">
      <c r="A18" s="36" t="inlineStr">
        <is>
          <t>★新版</t>
        </is>
      </c>
      <c r="B18" s="36" t="inlineStr">
        <is>
          <t>CV'/波 跨档位波动</t>
        </is>
      </c>
      <c r="C18" s="37" t="inlineStr">
        <is>
          <t>&lt; 10%</t>
        </is>
      </c>
      <c r="D18" s="37" t="inlineStr">
        <is>
          <t>—（达标即可）</t>
        </is>
      </c>
      <c r="E18" s="37" t="inlineStr">
        <is>
          <t>归一化失效，检查 01 表 E1–E5 是否与 03 表一致</t>
        </is>
      </c>
    </row>
    <row r="19">
      <c r="A19" s="36" t="inlineStr">
        <is>
          <t>★新版</t>
        </is>
      </c>
      <c r="B19" s="36" t="inlineStr">
        <is>
          <t>超载触发次数 / 关</t>
        </is>
      </c>
      <c r="C19" s="37" t="inlineStr">
        <is>
          <t>关1-2 ≥0.3 / 关5-6 ≥1.5 / 关10+ ≥3</t>
        </is>
      </c>
      <c r="D19" s="37" t="inlineStr">
        <is>
          <t>过低 → 弱分层增益不足，技巧无回报</t>
        </is>
      </c>
      <c r="E19" s="37" t="inlineStr">
        <is>
          <t>—（越高越好，说明玩家在成长）</t>
        </is>
      </c>
    </row>
    <row r="20">
      <c r="A20" s="36" t="inlineStr">
        <is>
          <t>★新版</t>
        </is>
      </c>
      <c r="B20" s="36" t="inlineStr">
        <is>
          <t>P(2048) 长局达成率</t>
        </is>
      </c>
      <c r="C20" s="37" t="inlineStr">
        <is>
          <t>熟练 40–55% / 新手 &lt;5%</t>
        </is>
      </c>
      <c r="D20" s="37" t="inlineStr">
        <is>
          <t>过低 → 2048 主题形同虚设，检查 BOARD_CARRY</t>
        </is>
      </c>
      <c r="E20" s="37" t="inlineStr">
        <is>
          <t>过高 → 主题廉价化，降低分层增益</t>
        </is>
      </c>
    </row>
    <row r="21">
      <c r="A21" s="36" t="inlineStr">
        <is>
          <t>★新版</t>
        </is>
      </c>
      <c r="B21" s="36" t="inlineStr">
        <is>
          <t>火 / 雷 元素选取率比</t>
        </is>
      </c>
      <c r="C21" s="37" t="inlineStr">
        <is>
          <t>0.8 – 1.3</t>
        </is>
      </c>
      <c r="D21" s="37" t="inlineStr">
        <is>
          <t>火 &lt; 0.8 → AoE 封顶过狠，回调 ELEM_CAP</t>
        </is>
      </c>
      <c r="E21" s="37" t="inlineStr">
        <is>
          <t>火 &gt; 1.5 → ELEM_CAP 未生效，检查实现</t>
        </is>
      </c>
    </row>
    <row r="22">
      <c r="A22" s="36" t="inlineStr">
        <is>
          <t>★新版</t>
        </is>
      </c>
      <c r="B22" s="36" t="inlineStr">
        <is>
          <t>跨关后开局盘面占用</t>
        </is>
      </c>
      <c r="C22" s="37" t="inlineStr">
        <is>
          <t>关3 &lt;55% / 关5 &lt;70%</t>
        </is>
      </c>
      <c r="D22" s="37" t="inlineStr">
        <is>
          <t>—（达标即可）</t>
        </is>
      </c>
      <c r="E22" s="37" t="inlineStr">
        <is>
          <t>过高 → 下调 SUB_TH，或启用「关卡开局半价升华」备用方案</t>
        </is>
      </c>
    </row>
    <row r="24">
      <c r="A24" s="3" t="inlineStr">
        <is>
          <t>Broken 判定（出现任一症状即为设计失败，需回头改系统而非改数值）</t>
        </is>
      </c>
    </row>
    <row r="25" ht="30" customHeight="1">
      <c r="A25" s="8" t="inlineStr">
        <is>
          <t>症状</t>
        </is>
      </c>
      <c r="B25" s="8" t="inlineStr">
        <is>
          <t>判定阈值</t>
        </is>
      </c>
      <c r="C25" s="8" t="inlineStr">
        <is>
          <t>根因假设</t>
        </is>
      </c>
      <c r="D25" s="8" t="inlineStr">
        <is>
          <t>处置</t>
        </is>
      </c>
    </row>
    <row r="26">
      <c r="A26" s="9" t="inlineStr">
        <is>
          <t>战斗毫无压力</t>
        </is>
      </c>
      <c r="B26" s="9" t="inlineStr">
        <is>
          <t>星枢 HP 全损率 &lt; 10%</t>
        </is>
      </c>
      <c r="C26" s="11" t="inlineStr">
        <is>
          <t>敌人推进速度或数量不足</t>
        </is>
      </c>
      <c r="D26" s="11" t="inlineStr">
        <is>
          <t>提高 SPD_SCL，或在 10 表降低目标余量比</t>
        </is>
      </c>
    </row>
    <row r="27">
      <c r="A27" s="9" t="inlineStr">
        <is>
          <t>棋盘被忽略</t>
        </is>
      </c>
      <c r="B27" s="9" t="inlineStr">
        <is>
          <t>步数常年满仓（余量 &gt; 60%）</t>
        </is>
      </c>
      <c r="C27" s="11" t="inlineStr">
        <is>
          <t>合成收益不足以驱动玩家操作</t>
        </is>
      </c>
      <c r="D27" s="11" t="inlineStr">
        <is>
          <t>提高 CV 转化系数，或降低 STEP_REGEN</t>
        </is>
      </c>
    </row>
    <row r="28">
      <c r="A28" s="9" t="inlineStr">
        <is>
          <t>附魔刷屏</t>
        </is>
      </c>
      <c r="B28" s="9" t="inlineStr">
        <is>
          <t>每波小附魔 &gt; 2.5 次</t>
        </is>
      </c>
      <c r="C28" s="11" t="inlineStr">
        <is>
          <t>★ v0.2 阈值下调。充能系数过高</t>
        </is>
      </c>
      <c r="D28" s="11" t="inlineStr">
        <is>
          <t>降低 CHARGE_K 或升高 CHARGE_MAX</t>
        </is>
      </c>
    </row>
    <row r="29">
      <c r="A29" s="9" t="inlineStr">
        <is>
          <t>卡牌无选择</t>
        </is>
      </c>
      <c r="B29" s="9" t="inlineStr">
        <is>
          <t>某张卡选取率 &gt; 70%</t>
        </is>
      </c>
      <c r="C29" s="11" t="inlineStr">
        <is>
          <t>该卡超模或同类卡过少</t>
        </is>
      </c>
      <c r="D29" s="11" t="inlineStr">
        <is>
          <t>查 06 表战力点，超 20 点的一律削</t>
        </is>
      </c>
    </row>
    <row r="30">
      <c r="A30" s="9" t="inlineStr">
        <is>
          <t>经济通胀</t>
        </is>
      </c>
      <c r="B30" s="9" t="inlineStr">
        <is>
          <t>金币日增量 / 日消耗 &gt; 3</t>
        </is>
      </c>
      <c r="C30" s="11" t="inlineStr">
        <is>
          <t>金币汇不足</t>
        </is>
      </c>
      <c r="D30" s="11" t="inlineStr">
        <is>
          <t>增设金币汇，或降低 K_GOLD</t>
        </is>
      </c>
    </row>
    <row r="31">
      <c r="A31" s="9" t="inlineStr">
        <is>
          <t>元素单一最优解</t>
        </is>
      </c>
      <c r="B31" s="9" t="inlineStr">
        <is>
          <t>某元素使用率 &gt; 50%</t>
        </is>
      </c>
      <c r="C31" s="11" t="inlineStr">
        <is>
          <t>该元素超模，或克制设计未生效</t>
        </is>
      </c>
      <c r="D31" s="11" t="inlineStr">
        <is>
          <t>调整该元素，或增加对应护盾精英出现率</t>
        </is>
      </c>
    </row>
    <row r="32">
      <c r="A32" s="9" t="inlineStr">
        <is>
          <t>后期棋盘饱和</t>
        </is>
      </c>
      <c r="B32" s="9" t="inlineStr">
        <is>
          <t>第 8 关后棋盘空格 &lt; 3</t>
        </is>
      </c>
      <c r="C32" s="11" t="inlineStr">
        <is>
          <t>升华阈值过高</t>
        </is>
      </c>
      <c r="D32" s="11" t="inlineStr">
        <is>
          <t>降低 SUB_TH 至 256，或提高「贪婪核心」出现率</t>
        </is>
      </c>
    </row>
    <row r="33">
      <c r="A33" s="9" t="inlineStr">
        <is>
          <t>养成碾压局内</t>
        </is>
      </c>
      <c r="B33" s="9" t="inlineStr">
        <is>
          <t>满养成 vs 零养成可达关卡比 &gt; 1.8</t>
        </is>
      </c>
      <c r="C33" s="11" t="inlineStr">
        <is>
          <t>植物星级/等级/编队位成长过大</t>
        </is>
      </c>
      <c r="D33" s="11" t="inlineStr">
        <is>
          <t>压缩 STAR_MULT / LV_MULT / SLOT_EFF</t>
        </is>
      </c>
    </row>
    <row r="34">
      <c r="A34" s="9" t="inlineStr">
        <is>
          <t>局内卡牌无意义</t>
        </is>
      </c>
      <c r="B34" s="9" t="inlineStr">
        <is>
          <t>满卡牌 vs 零卡牌可达关卡比 &lt; 1.3</t>
        </is>
      </c>
      <c r="C34" s="11" t="inlineStr">
        <is>
          <t>卡牌效果或数量不足</t>
        </is>
      </c>
      <c r="D34" s="11" t="inlineStr">
        <is>
          <t>提高 CARD_PWR，或按 06 表建议重做废卡</t>
        </is>
      </c>
    </row>
    <row r="35">
      <c r="A35" s="36" t="inlineStr">
        <is>
          <t>★技巧无回报</t>
        </is>
      </c>
      <c r="B35" s="36" t="inlineStr">
        <is>
          <t>高手 vs 新手可达关卡比 &lt; 1.15</t>
        </is>
      </c>
      <c r="C35" s="37" t="inlineStr">
        <is>
          <t>超载输出占比不足（OVER_SHARE 过低）</t>
        </is>
      </c>
      <c r="D35" s="37" t="inlineStr">
        <is>
          <t>提高 OVER_SHARE 至 0.70，代价是植物存在感下降</t>
        </is>
      </c>
    </row>
    <row r="36">
      <c r="A36" s="36" t="inlineStr">
        <is>
          <t>★固定方向流泛滥</t>
        </is>
      </c>
      <c r="B36" s="36" t="inlineStr">
        <is>
          <t>玩家连续同方向移动占比 &gt; 40%</t>
        </is>
      </c>
      <c r="C36" s="37" t="inlineStr">
        <is>
          <t>★ 实测：corner 策略在 5×5 比 random 还差 8%，是负技巧</t>
        </is>
      </c>
      <c r="D36" s="37" t="inlineStr">
        <is>
          <t>新手引导需干预（GDD v0.2 §6-A）：连续 4 次同方向时触发预警提示</t>
        </is>
      </c>
    </row>
    <row r="38">
      <c r="A38" s="3" t="inlineStr">
        <is>
          <t>平衡流程（不可跳过）</t>
        </is>
      </c>
    </row>
    <row r="39" ht="30" customHeight="1">
      <c r="A39" s="8" t="inlineStr">
        <is>
          <t>阶段</t>
        </is>
      </c>
      <c r="B39" s="8" t="inlineStr">
        <is>
          <t>活动</t>
        </is>
      </c>
      <c r="C39" s="8" t="inlineStr">
        <is>
          <t>产出</t>
        </is>
      </c>
      <c r="D39" s="8" t="inlineStr">
        <is>
          <t>准入条件</t>
        </is>
      </c>
    </row>
    <row r="40">
      <c r="A40" s="9" t="inlineStr">
        <is>
          <t>1. 纸面模拟</t>
        </is>
      </c>
      <c r="B40" s="11" t="inlineStr">
        <is>
          <t>★ 已完成。4 组蒙特卡洛校准（MERGE_RATE / 归一化 / 连锁 / 分层方案）</t>
        </is>
      </c>
      <c r="C40" s="11" t="inlineStr">
        <is>
          <t>校准后的 MERGE_RATE 0.90、AVG_MERGE_COEF 5.47、LOG_CORR 0.78</t>
        </is>
      </c>
      <c r="D40" s="11" t="inlineStr">
        <is>
          <t>✅ 完成</t>
        </is>
      </c>
    </row>
    <row r="41">
      <c r="A41" s="9" t="inlineStr">
        <is>
          <t>2. 数值原型</t>
        </is>
      </c>
      <c r="B41" s="11" t="inlineStr">
        <is>
          <t>只做棋盘 + 充能 + 附魔伤害的裸 Demo（无战斗）</t>
        </is>
      </c>
      <c r="C41" s="11" t="inlineStr">
        <is>
          <t>验证乐趣假设：精准合成触发超载清屏的瞬间是否成立</t>
        </is>
      </c>
      <c r="D41" s="11" t="inlineStr">
        <is>
          <t>纸面模拟完成</t>
        </is>
      </c>
    </row>
    <row r="42">
      <c r="A42" s="9" t="inlineStr">
        <is>
          <t>3. 可玩原型</t>
        </is>
      </c>
      <c r="B42" s="11" t="inlineStr">
        <is>
          <t>加入战斗与波次</t>
        </is>
      </c>
      <c r="C42" s="11" t="inlineStr">
        <is>
          <t>验证压力曲线与注意力分配</t>
        </is>
      </c>
      <c r="D42" s="11" t="inlineStr">
        <is>
          <t>乐趣假设成立</t>
        </is>
      </c>
    </row>
    <row r="43">
      <c r="A43" s="9" t="inlineStr">
        <is>
          <t>4. 小规模测试</t>
        </is>
      </c>
      <c r="B43" s="11" t="inlineStr">
        <is>
          <t>20–50 人试玩，只观察 Feel 问题，不调数值</t>
        </is>
      </c>
      <c r="C43" s="11" t="inlineStr">
        <is>
          <t>Feel 问题清单</t>
        </is>
      </c>
      <c r="D43" s="11" t="inlineStr">
        <is>
          <t>核心循环可玩</t>
        </is>
      </c>
    </row>
    <row r="44">
      <c r="A44" s="9" t="inlineStr">
        <is>
          <t>5. 数值调优</t>
        </is>
      </c>
      <c r="B44" s="11" t="inlineStr">
        <is>
          <t>基于埋点做回归分析</t>
        </is>
      </c>
      <c r="C44" s="11" t="inlineStr">
        <is>
          <t>v0.3 数值</t>
        </is>
      </c>
      <c r="D44" s="11" t="inlineStr">
        <is>
          <t>埋点体系上线</t>
        </is>
      </c>
    </row>
    <row r="45">
      <c r="A45" s="9" t="inlineStr">
        <is>
          <t>6. 软启动 A/B</t>
        </is>
      </c>
      <c r="B45" s="11" t="inlineStr">
        <is>
          <t>测三个主旋钮：STEP_REGEN / B_FAIL / HP_BASE</t>
        </is>
      </c>
      <c r="C45" s="11" t="inlineStr">
        <is>
          <t>上线数值配置</t>
        </is>
      </c>
      <c r="D45" s="11" t="inlineStr">
        <is>
          <t>数值基本稳定</t>
        </is>
      </c>
    </row>
    <row r="48">
      <c r="A48" s="3" t="inlineStr">
        <is>
          <t>给开发团队的一句话</t>
        </is>
      </c>
    </row>
    <row r="49" ht="40" customHeight="1">
      <c r="A49" s="38" t="inlineStr">
        <is>
          <t>V1 垂直切片是生死线。如果 V1（1 主植物 / 3 波 / 2 元素 / 10 张卡）玩起来不爽，加再多内容和养成也救不回来 —— 请在 V1 投入充分的试玩时间，而不是赶着堆内容。</t>
        </is>
      </c>
    </row>
  </sheetData>
  <mergeCells count="1">
    <mergeCell ref="A49:D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12" customWidth="1" min="4" max="4"/>
    <col width="46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3" customWidth="1" min="11" max="11"/>
    <col width="9" customWidth="1" min="12" max="12"/>
    <col width="40" customWidth="1" min="13" max="13"/>
  </cols>
  <sheetData>
    <row r="1">
      <c r="A1" s="1" t="inlineStr">
        <is>
          <t>关 1 波次预算表 —— 玩家输出能力 vs 敌人 HP（★ v0.2 新增，是 04 表敌人基准数值的来源）</t>
        </is>
      </c>
    </row>
    <row r="2">
      <c r="A2" s="7" t="inlineStr">
        <is>
          <t>配平逻辑：先算玩家在该波能打出多少输出，再除以目标余量比，得到敌人总 HP 预算。所有敌人基准 HP 由此反推。</t>
        </is>
      </c>
    </row>
    <row r="3">
      <c r="A3" s="2" t="inlineStr">
        <is>
          <t>附魔输出 = 合成次数 × k × log₂(5.47) × 0.78 ÷ 100 × (EP × ELEM_CAP)　｜　植物输出 = 3 株 × DPS 7 × 时长 × HIT_RATE 0.75</t>
        </is>
      </c>
    </row>
    <row r="4" ht="30" customHeight="1">
      <c r="A4" s="8" t="inlineStr">
        <is>
          <t>波</t>
        </is>
      </c>
      <c r="B4" s="8" t="inlineStr">
        <is>
          <t>时长(秒)</t>
        </is>
      </c>
      <c r="C4" s="8" t="inlineStr">
        <is>
          <t>步数</t>
        </is>
      </c>
      <c r="D4" s="8" t="inlineStr">
        <is>
          <t>合成次数</t>
        </is>
      </c>
      <c r="E4" s="8" t="inlineStr">
        <is>
          <t>小附魔次数</t>
        </is>
      </c>
      <c r="F4" s="8" t="inlineStr">
        <is>
          <t>附魔输出</t>
        </is>
      </c>
      <c r="G4" s="8" t="inlineStr">
        <is>
          <t>植物输出</t>
        </is>
      </c>
      <c r="H4" s="8" t="inlineStr">
        <is>
          <t>玩家总输出</t>
        </is>
      </c>
      <c r="I4" s="8" t="inlineStr">
        <is>
          <t>目标余量比</t>
        </is>
      </c>
      <c r="J4" s="8" t="inlineStr">
        <is>
          <t>敌人总HP(算)</t>
        </is>
      </c>
      <c r="K4" s="8" t="inlineStr">
        <is>
          <t>实际配置HP</t>
        </is>
      </c>
      <c r="L4" s="8" t="inlineStr">
        <is>
          <t>偏差</t>
        </is>
      </c>
      <c r="M4" s="8" t="inlineStr">
        <is>
          <t>组成</t>
        </is>
      </c>
    </row>
    <row r="5">
      <c r="A5" s="9" t="n">
        <v>1</v>
      </c>
      <c r="B5" s="25" t="n">
        <v>30</v>
      </c>
      <c r="C5" s="13">
        <f>B5/'01_核心常量'!$D$8+'01_核心常量'!$D$9</f>
        <v/>
      </c>
      <c r="D5" s="13">
        <f>C5*'01_核心常量'!$D$10</f>
        <v/>
      </c>
      <c r="E5" s="15">
        <f>D5*'01_核心常量'!$D$20*LOG('01_核心常量'!$D$11,2)*'01_核心常量'!$D$12/'01_核心常量'!$D$19</f>
        <v/>
      </c>
      <c r="F5" s="14">
        <f>E5*'01_核心常量'!$D$21*'01_核心常量'!$D$22</f>
        <v/>
      </c>
      <c r="G5" s="14">
        <f>'01_核心常量'!$D$44*'01_核心常量'!$D$46*B5*'01_核心常量'!$D$45</f>
        <v/>
      </c>
      <c r="H5" s="14">
        <f>F5+G5</f>
        <v/>
      </c>
      <c r="I5" s="16" t="n">
        <v>1.7</v>
      </c>
      <c r="J5" s="14">
        <f>H5/I5</f>
        <v/>
      </c>
      <c r="K5" s="39" t="n">
        <v>570</v>
      </c>
      <c r="L5" s="40">
        <f>K5/J5-1</f>
        <v/>
      </c>
      <c r="M5" s="9" t="inlineStr">
        <is>
          <t>6 小兵</t>
        </is>
      </c>
    </row>
    <row r="6">
      <c r="A6" s="9" t="n">
        <v>2</v>
      </c>
      <c r="B6" s="25" t="n">
        <v>35</v>
      </c>
      <c r="C6" s="13">
        <f>B6/'01_核心常量'!$D$8+'01_核心常量'!$D$9</f>
        <v/>
      </c>
      <c r="D6" s="13">
        <f>C6*'01_核心常量'!$D$10</f>
        <v/>
      </c>
      <c r="E6" s="15">
        <f>D6*'01_核心常量'!$D$20*LOG('01_核心常量'!$D$11,2)*'01_核心常量'!$D$12/'01_核心常量'!$D$19</f>
        <v/>
      </c>
      <c r="F6" s="14">
        <f>E6*'01_核心常量'!$D$21*'01_核心常量'!$D$22</f>
        <v/>
      </c>
      <c r="G6" s="14">
        <f>'01_核心常量'!$D$44*'01_核心常量'!$D$46*B6*'01_核心常量'!$D$45</f>
        <v/>
      </c>
      <c r="H6" s="14">
        <f>F6+G6</f>
        <v/>
      </c>
      <c r="I6" s="16" t="n">
        <v>1.7</v>
      </c>
      <c r="J6" s="14">
        <f>H6/I6</f>
        <v/>
      </c>
      <c r="K6" s="39" t="n">
        <v>612</v>
      </c>
      <c r="L6" s="40">
        <f>K6/J6-1</f>
        <v/>
      </c>
      <c r="M6" s="9" t="inlineStr">
        <is>
          <t>4 小兵 + 4 群聚 + 2 迅捷</t>
        </is>
      </c>
    </row>
    <row r="7">
      <c r="A7" s="9" t="n">
        <v>3</v>
      </c>
      <c r="B7" s="25" t="n">
        <v>45</v>
      </c>
      <c r="C7" s="13">
        <f>B7/'01_核心常量'!$D$8+'01_核心常量'!$D$9</f>
        <v/>
      </c>
      <c r="D7" s="13">
        <f>C7*'01_核心常量'!$D$10</f>
        <v/>
      </c>
      <c r="E7" s="15">
        <f>D7*'01_核心常量'!$D$20*LOG('01_核心常量'!$D$11,2)*'01_核心常量'!$D$12/'01_核心常量'!$D$19</f>
        <v/>
      </c>
      <c r="F7" s="14">
        <f>E7*'01_核心常量'!$D$21*'01_核心常量'!$D$22</f>
        <v/>
      </c>
      <c r="G7" s="14">
        <f>'01_核心常量'!$D$44*'01_核心常量'!$D$46*B7*'01_核心常量'!$D$45</f>
        <v/>
      </c>
      <c r="H7" s="14">
        <f>F7+G7</f>
        <v/>
      </c>
      <c r="I7" s="16" t="n">
        <v>1.5</v>
      </c>
      <c r="J7" s="14">
        <f>H7/I7</f>
        <v/>
      </c>
      <c r="K7" s="39" t="n">
        <v>950</v>
      </c>
      <c r="L7" s="40">
        <f>K7/J7-1</f>
        <v/>
      </c>
      <c r="M7" s="9" t="inlineStr">
        <is>
          <t>2 重甲 + 6 小兵</t>
        </is>
      </c>
    </row>
    <row r="8">
      <c r="A8" s="9" t="n">
        <v>4</v>
      </c>
      <c r="B8" s="25" t="n">
        <v>45</v>
      </c>
      <c r="C8" s="13">
        <f>B8/'01_核心常量'!$D$8+'01_核心常量'!$D$9</f>
        <v/>
      </c>
      <c r="D8" s="13">
        <f>C8*'01_核心常量'!$D$10</f>
        <v/>
      </c>
      <c r="E8" s="15">
        <f>D8*'01_核心常量'!$D$20*LOG('01_核心常量'!$D$11,2)*'01_核心常量'!$D$12/'01_核心常量'!$D$19</f>
        <v/>
      </c>
      <c r="F8" s="14">
        <f>E8*'01_核心常量'!$D$21*'01_核心常量'!$D$22</f>
        <v/>
      </c>
      <c r="G8" s="14">
        <f>'01_核心常量'!$D$44*'01_核心常量'!$D$46*B8*'01_核心常量'!$D$45</f>
        <v/>
      </c>
      <c r="H8" s="14">
        <f>F8+G8</f>
        <v/>
      </c>
      <c r="I8" s="16" t="n">
        <v>1.6</v>
      </c>
      <c r="J8" s="14">
        <f>H8/I8</f>
        <v/>
      </c>
      <c r="K8" s="39" t="n">
        <v>890</v>
      </c>
      <c r="L8" s="40">
        <f>K8/J8-1</f>
        <v/>
      </c>
      <c r="M8" s="9" t="inlineStr">
        <is>
          <t>6 迅捷 + 2 重甲</t>
        </is>
      </c>
    </row>
    <row r="9">
      <c r="A9" s="9" t="n">
        <v>5</v>
      </c>
      <c r="B9" s="25" t="n">
        <v>60</v>
      </c>
      <c r="C9" s="13">
        <f>B9/'01_核心常量'!$D$8+'01_核心常量'!$D$9</f>
        <v/>
      </c>
      <c r="D9" s="13">
        <f>C9*'01_核心常量'!$D$10</f>
        <v/>
      </c>
      <c r="E9" s="15">
        <f>D9*'01_核心常量'!$D$20*LOG('01_核心常量'!$D$11,2)*'01_核心常量'!$D$12/'01_核心常量'!$D$19</f>
        <v/>
      </c>
      <c r="F9" s="14">
        <f>E9*'01_核心常量'!$D$21*'01_核心常量'!$D$22</f>
        <v/>
      </c>
      <c r="G9" s="14">
        <f>'01_核心常量'!$D$44*'01_核心常量'!$D$46*B9*'01_核心常量'!$D$45</f>
        <v/>
      </c>
      <c r="H9" s="14">
        <f>F9+G9</f>
        <v/>
      </c>
      <c r="I9" s="16" t="n">
        <v>1.44</v>
      </c>
      <c r="J9" s="14">
        <f>H9/I9</f>
        <v/>
      </c>
      <c r="K9" s="39" t="n">
        <v>1310</v>
      </c>
      <c r="L9" s="40">
        <f>K9/J9-1</f>
        <v/>
      </c>
      <c r="M9" s="9" t="inlineStr">
        <is>
          <t>1 精英(火盾) + 8 小兵 + 4 群聚</t>
        </is>
      </c>
    </row>
    <row r="10">
      <c r="A10" s="34" t="inlineStr">
        <is>
          <t>合计</t>
        </is>
      </c>
      <c r="H10" s="29">
        <f>SUM(H5:H9)</f>
        <v/>
      </c>
      <c r="J10" s="29">
        <f>SUM(J5:J9)</f>
        <v/>
      </c>
      <c r="K10" s="29">
        <f>SUM(K5:K9)</f>
        <v/>
      </c>
      <c r="L10" s="41">
        <f>K10/J10-1</f>
        <v/>
      </c>
    </row>
    <row r="12">
      <c r="A12" s="3" t="inlineStr">
        <is>
          <t>输出占比校验（★ M3 的验收点）</t>
        </is>
      </c>
    </row>
    <row r="13" ht="30" customHeight="1">
      <c r="A13" s="8" t="inlineStr">
        <is>
          <t>项目</t>
        </is>
      </c>
      <c r="B13" s="8" t="inlineStr">
        <is>
          <t>关 1 全关合计</t>
        </is>
      </c>
      <c r="C13" s="8" t="inlineStr">
        <is>
          <t>占比</t>
        </is>
      </c>
      <c r="D13" s="8" t="inlineStr">
        <is>
          <t>目标</t>
        </is>
      </c>
      <c r="E13" s="8" t="inlineStr">
        <is>
          <t>判定</t>
        </is>
      </c>
    </row>
    <row r="14">
      <c r="A14" s="9" t="inlineStr">
        <is>
          <t>附魔输出</t>
        </is>
      </c>
      <c r="B14" s="14">
        <f>SUM(F5:F9)</f>
        <v/>
      </c>
      <c r="C14" s="27">
        <f>B14/($B$14+$B$15)</f>
        <v/>
      </c>
      <c r="D14" s="9" t="inlineStr">
        <is>
          <t>60%</t>
        </is>
      </c>
      <c r="E14" s="11" t="inlineStr">
        <is>
          <t>低于 50% 说明支柱 P2 失守，玩家不滑棋盘也能赢</t>
        </is>
      </c>
    </row>
    <row r="15">
      <c r="A15" s="9" t="inlineStr">
        <is>
          <t>植物输出</t>
        </is>
      </c>
      <c r="B15" s="14">
        <f>SUM(G5:G9)</f>
        <v/>
      </c>
      <c r="C15" s="27">
        <f>B15/($B$15+$B$16)</f>
        <v/>
      </c>
      <c r="D15" s="9" t="inlineStr">
        <is>
          <t>40%</t>
        </is>
      </c>
      <c r="E15" s="11" t="inlineStr">
        <is>
          <t>高于 50% 说明植物抢戏，需再降 PLANT_DPS</t>
        </is>
      </c>
    </row>
    <row r="17">
      <c r="A17" s="7" t="inlineStr">
        <is>
          <t>★ 这是 M3 的验收点。v0.1 的实算是 21% : 79%（植物碾压），v0.2 目标 60% : 40%。若实测偏离超过 ±5%，改 EP_BASE 或 PLANT_DPS 而不是改敌人 HP。</t>
        </is>
      </c>
    </row>
    <row r="18">
      <c r="A18" s="7" t="inlineStr">
        <is>
          <t>【偏差列用法】|偏差| &gt; 15% 的行会标红，说明「实际配置 HP」与「模型预算 HP」脱节，需要二选一调整。</t>
        </is>
      </c>
    </row>
    <row r="19">
      <c r="A19" s="7" t="inlineStr">
        <is>
          <t>【关 1 刻意宽松】整关余量比约 1.6，前 3 关是「我很强」的爽感期。这个爽感期是刻意的 —— 它保证每局前 12 分钟都是正反馈，失败发生在玩家已经投入之后。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2026-08-31T09:20:43Z</dcterms:created>
  <dcterms:modified xsi:type="dcterms:W3CDTF">2026-08-31T09:20:43Z</dcterms:modified>
</cp:coreProperties>
</file>