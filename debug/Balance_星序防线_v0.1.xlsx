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说明" sheetId="1" state="visible" r:id="rId1"/>
    <sheet name="01_核心常量" sheetId="2" state="visible" r:id="rId2"/>
    <sheet name="02_合成与充能" sheetId="3" state="visible" r:id="rId3"/>
    <sheet name="03_波次节奏模型" sheetId="4" state="visible" r:id="rId4"/>
    <sheet name="04_关卡与敌人" sheetId="5" state="visible" r:id="rId5"/>
    <sheet name="05_植物" sheetId="6" state="visible" r:id="rId6"/>
    <sheet name="06_卡牌" sheetId="7" state="visible" r:id="rId7"/>
    <sheet name="07_风险决策EV" sheetId="8" state="visible" r:id="rId8"/>
    <sheet name="08_养成与花园" sheetId="9" state="visible" r:id="rId9"/>
    <sheet name="09_验收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1F3864"/>
      <sz val="11"/>
    </font>
    <font>
      <b val="1"/>
      <sz val="10"/>
    </font>
    <font>
      <sz val="10"/>
    </font>
    <font>
      <i val="1"/>
      <color rgb="00808080"/>
      <sz val="9"/>
    </font>
    <font>
      <b val="1"/>
      <color rgb="00FFFFFF"/>
      <sz val="10"/>
    </font>
    <font>
      <b val="1"/>
    </font>
    <font>
      <b val="1"/>
      <color rgb="00C00000"/>
    </font>
    <font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164" fontId="0" fillId="4" borderId="1" pivotButton="0" quotePrefix="0" xfId="0"/>
    <xf numFmtId="2" fontId="0" fillId="4" borderId="1" pivotButton="0" quotePrefix="0" xfId="0"/>
    <xf numFmtId="0" fontId="0" fillId="3" borderId="1" pivotButton="0" quotePrefix="0" xfId="0"/>
    <xf numFmtId="3" fontId="0" fillId="4" borderId="1" pivotButton="0" quotePrefix="0" xfId="0"/>
    <xf numFmtId="2" fontId="8" fillId="4" borderId="1" pivotButton="0" quotePrefix="0" xfId="0"/>
    <xf numFmtId="165" fontId="0" fillId="4" borderId="1" pivotButton="0" quotePrefix="0" xfId="0"/>
    <xf numFmtId="0" fontId="0" fillId="4" borderId="1" applyAlignment="1" pivotButton="0" quotePrefix="0" xfId="0">
      <alignment horizontal="center"/>
    </xf>
    <xf numFmtId="9" fontId="0" fillId="0" borderId="1" pivotButton="0" quotePrefix="0" xfId="0"/>
    <xf numFmtId="9" fontId="0" fillId="4" borderId="1" pivotButton="0" quotePrefix="0" xfId="0"/>
    <xf numFmtId="9" fontId="0" fillId="3" borderId="1" pivotButton="0" quotePrefix="0" xfId="0"/>
    <xf numFmtId="3" fontId="7" fillId="4" borderId="1" pivotButton="0" quotePrefix="0" xfId="0"/>
    <xf numFmtId="166" fontId="8" fillId="4" borderId="1" pivotButton="0" quotePrefix="0" xfId="0"/>
    <xf numFmtId="166" fontId="0" fillId="4" borderId="1" pivotButton="0" quotePrefix="0" xfId="0"/>
    <xf numFmtId="166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7" fillId="0" borderId="0" pivotButton="0" quotePrefix="0" xfId="0"/>
    <xf numFmtId="0" fontId="7" fillId="4" borderId="1" pivotButton="0" quotePrefix="0" xfId="0"/>
    <xf numFmtId="1" fontId="0" fillId="4" borderId="1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星序：元素防线 — 调参总表 v0.1</t>
        </is>
      </c>
    </row>
    <row r="3">
      <c r="A3" s="2" t="inlineStr">
        <is>
          <t>使用方式</t>
        </is>
      </c>
    </row>
    <row r="4">
      <c r="A4" s="3" t="inlineStr">
        <is>
          <t>黄色单元格</t>
        </is>
      </c>
      <c r="B4" s="4" t="inlineStr">
        <is>
          <t>可调输入参数。改动后全表公式自动重算。</t>
        </is>
      </c>
    </row>
    <row r="5">
      <c r="A5" s="3" t="inlineStr">
        <is>
          <t>绿色单元格</t>
        </is>
      </c>
      <c r="B5" s="4" t="inlineStr">
        <is>
          <t>公式计算结果。请勿手动覆盖，否则断链。</t>
        </is>
      </c>
    </row>
    <row r="6">
      <c r="A6" s="3" t="inlineStr">
        <is>
          <t>灰色小字</t>
        </is>
      </c>
      <c r="B6" s="4" t="inlineStr">
        <is>
          <t>设计理由 / 调参方向说明。</t>
        </is>
      </c>
    </row>
    <row r="7">
      <c r="A7" s="3" t="inlineStr">
        <is>
          <t>无底色</t>
        </is>
      </c>
      <c r="B7" s="4" t="inlineStr">
        <is>
          <t>静态参考数据（文案表、卡池清单等）。</t>
        </is>
      </c>
    </row>
    <row r="9">
      <c r="A9" s="2" t="inlineStr">
        <is>
          <t>工作表导航</t>
        </is>
      </c>
    </row>
    <row r="10">
      <c r="A10" s="3" t="inlineStr">
        <is>
          <t>01_核心常量</t>
        </is>
      </c>
      <c r="B10" s="4" t="inlineStr">
        <is>
          <t>全局旋钮。所有其他表的输入源头，优先在这里调。</t>
        </is>
      </c>
    </row>
    <row r="11">
      <c r="A11" s="3" t="inlineStr">
        <is>
          <t>02_合成与充能</t>
        </is>
      </c>
      <c r="B11" s="4" t="inlineStr">
        <is>
          <t>方块值 → 充能 / CV / 各货币 / 附魔伤害的换算表。</t>
        </is>
      </c>
    </row>
    <row r="12">
      <c r="A12" s="3" t="inlineStr">
        <is>
          <t>03_波次节奏模型</t>
        </is>
      </c>
      <c r="B12" s="4" t="inlineStr">
        <is>
          <t>估算每波的步数、合成次数、ΣCV、附魔次数、星核产出。</t>
        </is>
      </c>
    </row>
    <row r="13">
      <c r="A13" s="3" t="inlineStr">
        <is>
          <t>04_关卡与敌人</t>
        </is>
      </c>
      <c r="B13" s="4" t="inlineStr">
        <is>
          <t>1–15 关的敌人强度缩放 vs 玩家战力成长，含「撞墙点」判定。</t>
        </is>
      </c>
    </row>
    <row r="14">
      <c r="A14" s="3" t="inlineStr">
        <is>
          <t>05_植物</t>
        </is>
      </c>
      <c r="B14" s="4" t="inlineStr">
        <is>
          <t>植物基础数值与星级/等级成长公式。</t>
        </is>
      </c>
    </row>
    <row r="15">
      <c r="A15" s="3" t="inlineStr">
        <is>
          <t>06_卡牌</t>
        </is>
      </c>
      <c r="B15" s="4" t="inlineStr">
        <is>
          <t>卡池清单与稀有度权重。</t>
        </is>
      </c>
    </row>
    <row r="16">
      <c r="A16" s="3" t="inlineStr">
        <is>
          <t>07_风险决策EV</t>
        </is>
      </c>
      <c r="B16" s="4" t="inlineStr">
        <is>
          <t>继续 / 收工的期望值计算器与保底比例敏感性分析。</t>
        </is>
      </c>
    </row>
    <row r="17">
      <c r="A17" s="3" t="inlineStr">
        <is>
          <t>08_养成与花园</t>
        </is>
      </c>
      <c r="B17" s="4" t="inlineStr">
        <is>
          <t>星尘养成树成本模型与花园产出模型。</t>
        </is>
      </c>
    </row>
    <row r="18">
      <c r="A18" s="3" t="inlineStr">
        <is>
          <t>09_验收清单</t>
        </is>
      </c>
      <c r="B18" s="4" t="inlineStr">
        <is>
          <t>平衡目标与「broken」判定标准 —— playtest 前先读这张。</t>
        </is>
      </c>
    </row>
    <row r="20">
      <c r="A20" s="5" t="inlineStr">
        <is>
          <t>所有数值均为 v0.1 假设，未经 playtest 验证。纸面模拟（10,000 局 Monte Carlo）是调参的第一步，不是可选项。</t>
        </is>
      </c>
    </row>
    <row r="21">
      <c r="A21" s="5" t="inlineStr">
        <is>
          <t>配套文档：GDD_星序防线_v0.1.md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  <col width="16" customWidth="1" min="5" max="5"/>
    <col width="62" customWidth="1" min="6" max="6"/>
  </cols>
  <sheetData>
    <row r="1">
      <c r="A1" s="1" t="inlineStr">
        <is>
          <t>核心常量 —— 全局旋钮（黄底可调，改这里会驱动全表）</t>
        </is>
      </c>
    </row>
    <row r="3" ht="30" customHeight="1">
      <c r="A3" s="6" t="inlineStr">
        <is>
          <t>分组</t>
        </is>
      </c>
      <c r="B3" s="6" t="inlineStr">
        <is>
          <t>参数名</t>
        </is>
      </c>
      <c r="C3" s="6" t="inlineStr">
        <is>
          <t>代号</t>
        </is>
      </c>
      <c r="D3" s="6" t="inlineStr">
        <is>
          <t>当前值</t>
        </is>
      </c>
      <c r="E3" s="6" t="inlineStr">
        <is>
          <t>建议范围</t>
        </is>
      </c>
      <c r="F3" s="6" t="inlineStr">
        <is>
          <t>调参说明</t>
        </is>
      </c>
    </row>
    <row r="4">
      <c r="A4" s="7" t="inlineStr">
        <is>
          <t>棋盘</t>
        </is>
      </c>
      <c r="B4" s="7" t="inlineStr">
        <is>
          <t>棋盘尺寸</t>
        </is>
      </c>
      <c r="C4" s="7" t="inlineStr">
        <is>
          <t>BOARD_N</t>
        </is>
      </c>
      <c r="D4" s="8" t="n">
        <v>5</v>
      </c>
      <c r="E4" s="7" t="inlineStr">
        <is>
          <t>4 / 5 / 6</t>
        </is>
      </c>
      <c r="F4" s="9" t="inlineStr">
        <is>
          <t>5×5。4×4 在实时压力下死局率过高；6×6 太宽松失去张力。</t>
        </is>
      </c>
    </row>
    <row r="5">
      <c r="A5" s="7" t="inlineStr">
        <is>
          <t>棋盘</t>
        </is>
      </c>
      <c r="B5" s="7" t="inlineStr">
        <is>
          <t>每次移动生成方块数</t>
        </is>
      </c>
      <c r="C5" s="7" t="inlineStr">
        <is>
          <t>SPAWN_N</t>
        </is>
      </c>
      <c r="D5" s="8" t="n">
        <v>1</v>
      </c>
      <c r="E5" s="7" t="inlineStr">
        <is>
          <t>1 – 2</t>
        </is>
      </c>
      <c r="F5" s="9" t="inlineStr">
        <is>
          <t>保持 1。卡牌「丰饶」可临时 +1。</t>
        </is>
      </c>
    </row>
    <row r="6">
      <c r="A6" s="7" t="inlineStr">
        <is>
          <t>棋盘</t>
        </is>
      </c>
      <c r="B6" s="7" t="inlineStr">
        <is>
          <t>初始方块数</t>
        </is>
      </c>
      <c r="C6" s="7" t="inlineStr">
        <is>
          <t>INIT_N</t>
        </is>
      </c>
      <c r="D6" s="8" t="n">
        <v>2</v>
      </c>
      <c r="E6" s="7" t="inlineStr">
        <is>
          <t>2 – 4</t>
        </is>
      </c>
      <c r="F6" s="9" t="inlineStr">
        <is>
          <t>留出前期铺垫空间。</t>
        </is>
      </c>
    </row>
    <row r="7">
      <c r="A7" s="7" t="inlineStr">
        <is>
          <t>棋盘</t>
        </is>
      </c>
      <c r="B7" s="7" t="inlineStr">
        <is>
          <t>步数上限</t>
        </is>
      </c>
      <c r="C7" s="7" t="inlineStr">
        <is>
          <t>STEP_MAX</t>
        </is>
      </c>
      <c r="D7" s="8" t="n">
        <v>5</v>
      </c>
      <c r="E7" s="7" t="inlineStr">
        <is>
          <t>3 – 10</t>
        </is>
      </c>
      <c r="F7" s="9" t="inlineStr">
        <is>
          <t>攒满 5 步可打一套爆发连招，这是「攒劲儿」的爽点来源。</t>
        </is>
      </c>
    </row>
    <row r="8">
      <c r="A8" s="7" t="inlineStr">
        <is>
          <t>棋盘</t>
        </is>
      </c>
      <c r="B8" s="7" t="inlineStr">
        <is>
          <t>步数回复间隔(秒)</t>
        </is>
      </c>
      <c r="C8" s="7" t="inlineStr">
        <is>
          <t>STEP_REGEN</t>
        </is>
      </c>
      <c r="D8" s="8" t="n">
        <v>1.5</v>
      </c>
      <c r="E8" s="7" t="inlineStr">
        <is>
          <t>1.0 – 2.5</t>
        </is>
      </c>
      <c r="F8" s="9" t="inlineStr">
        <is>
          <t>★ 手感主旋钮。直接决定每波步数预算与合成次数。</t>
        </is>
      </c>
    </row>
    <row r="9">
      <c r="A9" s="7" t="inlineStr">
        <is>
          <t>棋盘</t>
        </is>
      </c>
      <c r="B9" s="7" t="inlineStr">
        <is>
          <t>波次开局赠送步数</t>
        </is>
      </c>
      <c r="C9" s="7" t="inlineStr">
        <is>
          <t>STEP_GIFT</t>
        </is>
      </c>
      <c r="D9" s="8" t="n">
        <v>2</v>
      </c>
      <c r="E9" s="7" t="inlineStr">
        <is>
          <t>0 – 4</t>
        </is>
      </c>
      <c r="F9" s="9" t="inlineStr">
        <is>
          <t>缓解波次切换空窗。</t>
        </is>
      </c>
    </row>
    <row r="10">
      <c r="A10" s="7" t="inlineStr">
        <is>
          <t>棋盘</t>
        </is>
      </c>
      <c r="B10" s="7" t="inlineStr">
        <is>
          <t>每步平均合成次数</t>
        </is>
      </c>
      <c r="C10" s="7" t="inlineStr">
        <is>
          <t>MERGE_RATE</t>
        </is>
      </c>
      <c r="D10" s="8" t="n">
        <v>1.2</v>
      </c>
      <c r="E10" s="7" t="inlineStr">
        <is>
          <t>0.8 – 1.8</t>
        </is>
      </c>
      <c r="F10" s="9" t="inlineStr">
        <is>
          <t>★ 模型关键假设，必须用 Monte Carlo 校准。新手 0.5，高手 1.8+。</t>
        </is>
      </c>
    </row>
    <row r="11">
      <c r="A11" s="7" t="inlineStr">
        <is>
          <t>充能</t>
        </is>
      </c>
      <c r="B11" s="7" t="inlineStr">
        <is>
          <t>充能条上限</t>
        </is>
      </c>
      <c r="C11" s="7" t="inlineStr">
        <is>
          <t>CHARGE_MAX</t>
        </is>
      </c>
      <c r="D11" s="8" t="n">
        <v>100</v>
      </c>
      <c r="E11" s="7" t="inlineStr">
        <is>
          <t>80 – 150</t>
        </is>
      </c>
      <c r="F11" s="9" t="inlineStr">
        <is>
          <t>★ 附魔频率主旋钮。目标：每波 3–4 次小附魔。</t>
        </is>
      </c>
    </row>
    <row r="12">
      <c r="A12" s="7" t="inlineStr">
        <is>
          <t>充能</t>
        </is>
      </c>
      <c r="B12" s="7" t="inlineStr">
        <is>
          <t>充能系数 k</t>
        </is>
      </c>
      <c r="C12" s="7" t="inlineStr">
        <is>
          <t>CHARGE_K</t>
        </is>
      </c>
      <c r="D12" s="8" t="n">
        <v>4</v>
      </c>
      <c r="E12" s="7" t="inlineStr">
        <is>
          <t>2 – 8</t>
        </is>
      </c>
      <c r="F12" s="9" t="inlineStr">
        <is>
          <t>充能 = k × (log₂v − 1)。</t>
        </is>
      </c>
    </row>
    <row r="13">
      <c r="A13" s="7" t="inlineStr">
        <is>
          <t>附魔</t>
        </is>
      </c>
      <c r="B13" s="7" t="inlineStr">
        <is>
          <t>基准附魔强度 EP</t>
        </is>
      </c>
      <c r="C13" s="7" t="inlineStr">
        <is>
          <t>EP_BASE</t>
        </is>
      </c>
      <c r="D13" s="8" t="n">
        <v>60</v>
      </c>
      <c r="E13" s="7" t="inlineStr">
        <is>
          <t>40 – 100</t>
        </is>
      </c>
      <c r="F13" s="9" t="inlineStr">
        <is>
          <t>对标第 1 关小兵 HP 40。所有元素效果的乘数基准。</t>
        </is>
      </c>
    </row>
    <row r="14">
      <c r="A14" s="7" t="inlineStr">
        <is>
          <t>附魔</t>
        </is>
      </c>
      <c r="B14" s="7" t="inlineStr">
        <is>
          <t>共鸣第2次加成</t>
        </is>
      </c>
      <c r="C14" s="7" t="inlineStr">
        <is>
          <t>RES2</t>
        </is>
      </c>
      <c r="D14" s="8" t="n">
        <v>1.4</v>
      </c>
      <c r="E14" s="7" t="inlineStr">
        <is>
          <t>1.2 – 1.6</t>
        </is>
      </c>
      <c r="F14" s="9" t="inlineStr">
        <is>
          <t>连续同元素第 2 次的威力倍率。</t>
        </is>
      </c>
    </row>
    <row r="15">
      <c r="A15" s="7" t="inlineStr">
        <is>
          <t>附魔</t>
        </is>
      </c>
      <c r="B15" s="7" t="inlineStr">
        <is>
          <t>共鸣第3次+加成</t>
        </is>
      </c>
      <c r="C15" s="7" t="inlineStr">
        <is>
          <t>RES3</t>
        </is>
      </c>
      <c r="D15" s="8" t="n">
        <v>1.8</v>
      </c>
      <c r="E15" s="7" t="inlineStr">
        <is>
          <t>1.5 – 2.2</t>
        </is>
      </c>
      <c r="F15" s="9" t="inlineStr">
        <is>
          <t>第 3 次及以后。过低则轮盘编排无意义。</t>
        </is>
      </c>
    </row>
    <row r="16">
      <c r="A16" s="7" t="inlineStr">
        <is>
          <t>经济</t>
        </is>
      </c>
      <c r="B16" s="7" t="inlineStr">
        <is>
          <t>星核系数</t>
        </is>
      </c>
      <c r="C16" s="7" t="inlineStr">
        <is>
          <t>K_STAR</t>
        </is>
      </c>
      <c r="D16" s="8" t="n">
        <v>0.12</v>
      </c>
      <c r="E16" s="7" t="inlineStr">
        <is>
          <t>0.06 – 0.20</t>
        </is>
      </c>
      <c r="F16" s="9" t="inlineStr">
        <is>
          <t>★ 星核 = CV × 此值。目标：每波约 25 星核 = 1 次战术指令。</t>
        </is>
      </c>
    </row>
    <row r="17">
      <c r="A17" s="7" t="inlineStr">
        <is>
          <t>经济</t>
        </is>
      </c>
      <c r="B17" s="7" t="inlineStr">
        <is>
          <t>金币系数</t>
        </is>
      </c>
      <c r="C17" s="7" t="inlineStr">
        <is>
          <t>K_GOLD</t>
        </is>
      </c>
      <c r="D17" s="8" t="n">
        <v>1</v>
      </c>
      <c r="E17" s="7" t="inlineStr">
        <is>
          <t>0.6 – 1.5</t>
        </is>
      </c>
      <c r="F17" s="9" t="inlineStr">
        <is>
          <t>金币 = CV × 此值 × 关卡倍率。</t>
        </is>
      </c>
    </row>
    <row r="18">
      <c r="A18" s="7" t="inlineStr">
        <is>
          <t>经济</t>
        </is>
      </c>
      <c r="B18" s="7" t="inlineStr">
        <is>
          <t>碎片系数</t>
        </is>
      </c>
      <c r="C18" s="7" t="inlineStr">
        <is>
          <t>K_SHARD</t>
        </is>
      </c>
      <c r="D18" s="8" t="n">
        <v>0.04</v>
      </c>
      <c r="E18" s="7" t="inlineStr">
        <is>
          <t>0.02 – 0.08</t>
        </is>
      </c>
      <c r="F18" s="9" t="inlineStr">
        <is>
          <t>碎片 = CV × 此值 × 关卡倍率。小数进池不丢。</t>
        </is>
      </c>
    </row>
    <row r="19">
      <c r="A19" s="7" t="inlineStr">
        <is>
          <t>经济</t>
        </is>
      </c>
      <c r="B19" s="7" t="inlineStr">
        <is>
          <t>升华结晶倍率</t>
        </is>
      </c>
      <c r="C19" s="7" t="inlineStr">
        <is>
          <t>SUB_MULT</t>
        </is>
      </c>
      <c r="D19" s="8" t="n">
        <v>3</v>
      </c>
      <c r="E19" s="7" t="inlineStr">
        <is>
          <t>2.0 – 5.0</t>
        </is>
      </c>
      <c r="F19" s="9" t="inlineStr">
        <is>
          <t>升华时 CV = v × 此值。过低则无人升华，过高则无人冲高星。</t>
        </is>
      </c>
    </row>
    <row r="20">
      <c r="A20" s="7" t="inlineStr">
        <is>
          <t>经济</t>
        </is>
      </c>
      <c r="B20" s="7" t="inlineStr">
        <is>
          <t>自动升华阈值</t>
        </is>
      </c>
      <c r="C20" s="7" t="inlineStr">
        <is>
          <t>SUB_TH</t>
        </is>
      </c>
      <c r="D20" s="8" t="n">
        <v>512</v>
      </c>
      <c r="E20" s="7" t="inlineStr">
        <is>
          <t>256 / 512 / 1024</t>
        </is>
      </c>
      <c r="F20" s="9" t="inlineStr">
        <is>
          <t>≥ 此值的方块触发超载后自动升华。</t>
        </is>
      </c>
    </row>
    <row r="21">
      <c r="A21" s="7" t="inlineStr">
        <is>
          <t>关卡</t>
        </is>
      </c>
      <c r="B21" s="7" t="inlineStr">
        <is>
          <t>波次时长(秒)</t>
        </is>
      </c>
      <c r="C21" s="7" t="inlineStr">
        <is>
          <t>WAVE_T</t>
        </is>
      </c>
      <c r="D21" s="8" t="n">
        <v>40</v>
      </c>
      <c r="E21" s="7" t="inlineStr">
        <is>
          <t>30 – 60</t>
        </is>
      </c>
      <c r="F21" s="9" t="inlineStr">
        <is>
          <t>标准波。Boss 波约为 1.5 倍。</t>
        </is>
      </c>
    </row>
    <row r="22">
      <c r="A22" s="7" t="inlineStr">
        <is>
          <t>关卡</t>
        </is>
      </c>
      <c r="B22" s="7" t="inlineStr">
        <is>
          <t>每关波数</t>
        </is>
      </c>
      <c r="C22" s="7" t="inlineStr">
        <is>
          <t>WAVE_N</t>
        </is>
      </c>
      <c r="D22" s="8" t="n">
        <v>5</v>
      </c>
      <c r="E22" s="7" t="inlineStr">
        <is>
          <t>3 – 6</t>
        </is>
      </c>
      <c r="F22" s="9" t="inlineStr">
        <is>
          <t>5 波一关，约 4 分钟。</t>
        </is>
      </c>
    </row>
    <row r="23">
      <c r="A23" s="7" t="inlineStr">
        <is>
          <t>关卡</t>
        </is>
      </c>
      <c r="B23" s="7" t="inlineStr">
        <is>
          <t>敌人HP缩放底数</t>
        </is>
      </c>
      <c r="C23" s="7" t="inlineStr">
        <is>
          <t>HP_BASE</t>
        </is>
      </c>
      <c r="D23" s="8" t="n">
        <v>1.55</v>
      </c>
      <c r="E23" s="7" t="inlineStr">
        <is>
          <t>1.40 – 1.70</t>
        </is>
      </c>
      <c r="F23" s="9" t="inlineStr">
        <is>
          <t>★★ 难度主旋钮。1.55 经漏怪模型校准：中等玩家约第 6 关阵亡。</t>
        </is>
      </c>
    </row>
    <row r="24">
      <c r="A24" s="7" t="inlineStr">
        <is>
          <t>关卡</t>
        </is>
      </c>
      <c r="B24" s="7" t="inlineStr">
        <is>
          <t>敌人HP超线性项</t>
        </is>
      </c>
      <c r="C24" s="7" t="inlineStr">
        <is>
          <t>HP_SLIN</t>
        </is>
      </c>
      <c r="D24" s="8" t="n">
        <v>0.05</v>
      </c>
      <c r="E24" s="7" t="inlineStr">
        <is>
          <t>0 – 0.10</t>
        </is>
      </c>
      <c r="F24" s="9" t="inlineStr">
        <is>
          <t>HP(n) = 基础 × 底数^(n−1) × (1 + 此项 × (n−1))。</t>
        </is>
      </c>
    </row>
    <row r="25">
      <c r="A25" s="7" t="inlineStr">
        <is>
          <t>关卡</t>
        </is>
      </c>
      <c r="B25" s="7" t="inlineStr">
        <is>
          <t>每关敌人总数</t>
        </is>
      </c>
      <c r="C25" s="7" t="inlineStr">
        <is>
          <t>ENEMY_TOT</t>
        </is>
      </c>
      <c r="D25" s="8" t="n">
        <v>60</v>
      </c>
      <c r="E25" s="7" t="inlineStr">
        <is>
          <t>40 – 80</t>
        </is>
      </c>
      <c r="F25" s="9" t="inlineStr">
        <is>
          <t>5 波 × 约 12 只。用于漏怪模型估算。</t>
        </is>
      </c>
    </row>
    <row r="26">
      <c r="A26" s="7" t="inlineStr">
        <is>
          <t>关卡</t>
        </is>
      </c>
      <c r="B26" s="7" t="inlineStr">
        <is>
          <t>平均撞核心伤害</t>
        </is>
      </c>
      <c r="C26" s="7" t="inlineStr">
        <is>
          <t>AVG_DMG</t>
        </is>
      </c>
      <c r="D26" s="8" t="n">
        <v>6</v>
      </c>
      <c r="E26" s="7" t="inlineStr">
        <is>
          <t>4 – 8</t>
        </is>
      </c>
      <c r="F26" s="9" t="inlineStr">
        <is>
          <t>各类敌人加权平均。用于漏怪模型估算。</t>
        </is>
      </c>
    </row>
    <row r="27">
      <c r="A27" s="7" t="inlineStr">
        <is>
          <t>关卡</t>
        </is>
      </c>
      <c r="B27" s="7" t="inlineStr">
        <is>
          <t>敌人速度缩放</t>
        </is>
      </c>
      <c r="C27" s="7" t="inlineStr">
        <is>
          <t>SPD_SCL</t>
        </is>
      </c>
      <c r="D27" s="8" t="n">
        <v>0.04</v>
      </c>
      <c r="E27" s="7" t="inlineStr">
        <is>
          <t>0.02 – 0.06</t>
        </is>
      </c>
      <c r="F27" s="9" t="inlineStr">
        <is>
          <t>速度增长必须慢，否则不可控。</t>
        </is>
      </c>
    </row>
    <row r="28">
      <c r="A28" s="7" t="inlineStr">
        <is>
          <t>关卡</t>
        </is>
      </c>
      <c r="B28" s="7" t="inlineStr">
        <is>
          <t>敌人伤害缩放底数</t>
        </is>
      </c>
      <c r="C28" s="7" t="inlineStr">
        <is>
          <t>DMG_BASE</t>
        </is>
      </c>
      <c r="D28" s="8" t="n">
        <v>1.25</v>
      </c>
      <c r="E28" s="7" t="inlineStr">
        <is>
          <t>1.15 – 1.35</t>
        </is>
      </c>
      <c r="F28" s="9" t="inlineStr">
        <is>
          <t>伤害缩放应慢于 HP，避免核心被秒。</t>
        </is>
      </c>
    </row>
    <row r="29">
      <c r="A29" s="7" t="inlineStr">
        <is>
          <t>关卡</t>
        </is>
      </c>
      <c r="B29" s="7" t="inlineStr">
        <is>
          <t>关卡收益倍率增量</t>
        </is>
      </c>
      <c r="C29" s="7" t="inlineStr">
        <is>
          <t>RWD_INC</t>
        </is>
      </c>
      <c r="D29" s="8" t="n">
        <v>0.3</v>
      </c>
      <c r="E29" s="7" t="inlineStr">
        <is>
          <t>0.2 – 0.5</t>
        </is>
      </c>
      <c r="F29" s="9" t="inlineStr">
        <is>
          <t>关卡倍率 1.0, 1.3, 1.7, 2.2, 2.8 …（增量递增 0.1）</t>
        </is>
      </c>
    </row>
    <row r="30">
      <c r="A30" s="7" t="inlineStr">
        <is>
          <t>关卡</t>
        </is>
      </c>
      <c r="B30" s="7" t="inlineStr">
        <is>
          <t>核心HP</t>
        </is>
      </c>
      <c r="C30" s="7" t="inlineStr">
        <is>
          <t>CORE_HP</t>
        </is>
      </c>
      <c r="D30" s="8" t="n">
        <v>100</v>
      </c>
      <c r="E30" s="7" t="inlineStr">
        <is>
          <t>80 – 200</t>
        </is>
      </c>
      <c r="F30" s="9" t="inlineStr">
        <is>
          <t>防线血量。</t>
        </is>
      </c>
    </row>
    <row r="31">
      <c r="A31" s="7" t="inlineStr">
        <is>
          <t>关卡</t>
        </is>
      </c>
      <c r="B31" s="7" t="inlineStr">
        <is>
          <t>关卡间核心回复%</t>
        </is>
      </c>
      <c r="C31" s="7" t="inlineStr">
        <is>
          <t>CORE_REGEN</t>
        </is>
      </c>
      <c r="D31" s="8" t="n">
        <v>0.2</v>
      </c>
      <c r="E31" s="7" t="inlineStr">
        <is>
          <t>0 – 0.35</t>
        </is>
      </c>
      <c r="F31" s="9" t="inlineStr">
        <is>
          <t>鼓励推进。</t>
        </is>
      </c>
    </row>
    <row r="32">
      <c r="A32" s="7" t="inlineStr">
        <is>
          <t>成长</t>
        </is>
      </c>
      <c r="B32" s="7" t="inlineStr">
        <is>
          <t>每关获取卡牌数</t>
        </is>
      </c>
      <c r="C32" s="7" t="inlineStr">
        <is>
          <t>CARD_N</t>
        </is>
      </c>
      <c r="D32" s="8" t="n">
        <v>5</v>
      </c>
      <c r="E32" s="7" t="inlineStr">
        <is>
          <t>3 – 6</t>
        </is>
      </c>
      <c r="F32" s="9">
        <f> 每关波数。</f>
        <v/>
      </c>
    </row>
    <row r="33">
      <c r="A33" s="7" t="inlineStr">
        <is>
          <t>成长</t>
        </is>
      </c>
      <c r="B33" s="7" t="inlineStr">
        <is>
          <t>单卡平均效果</t>
        </is>
      </c>
      <c r="C33" s="7" t="inlineStr">
        <is>
          <t>CARD_PWR</t>
        </is>
      </c>
      <c r="D33" s="8" t="n">
        <v>0.12</v>
      </c>
      <c r="E33" s="7" t="inlineStr">
        <is>
          <t>0.08 – 0.18</t>
        </is>
      </c>
      <c r="F33" s="9" t="inlineStr">
        <is>
          <t>★ 玩家战力成长主旋钮。</t>
        </is>
      </c>
    </row>
    <row r="34">
      <c r="A34" s="7" t="inlineStr">
        <is>
          <t>成长</t>
        </is>
      </c>
      <c r="B34" s="7" t="inlineStr">
        <is>
          <t>卡牌效率衰减</t>
        </is>
      </c>
      <c r="C34" s="7" t="inlineStr">
        <is>
          <t>CARD_DECAY</t>
        </is>
      </c>
      <c r="D34" s="8" t="n">
        <v>0.88</v>
      </c>
      <c r="E34" s="7" t="inlineStr">
        <is>
          <t>0.80 – 0.95</t>
        </is>
      </c>
      <c r="F34" s="9" t="inlineStr">
        <is>
          <t>每关卡牌边际收益递减，制造自然撞墙点。</t>
        </is>
      </c>
    </row>
    <row r="35">
      <c r="A35" s="7" t="inlineStr">
        <is>
          <t>成长</t>
        </is>
      </c>
      <c r="B35" s="7" t="inlineStr">
        <is>
          <t>植物基础DPS</t>
        </is>
      </c>
      <c r="C35" s="7" t="inlineStr">
        <is>
          <t>PLANT_DPS</t>
        </is>
      </c>
      <c r="D35" s="8" t="n">
        <v>10</v>
      </c>
      <c r="E35" s="7" t="inlineStr">
        <is>
          <t>8 – 14</t>
        </is>
      </c>
      <c r="F35" s="9" t="inlineStr">
        <is>
          <t>1★1 级单体基准。</t>
        </is>
      </c>
    </row>
    <row r="36">
      <c r="A36" s="7" t="inlineStr">
        <is>
          <t>成长</t>
        </is>
      </c>
      <c r="B36" s="7" t="inlineStr">
        <is>
          <t>初始编队位</t>
        </is>
      </c>
      <c r="C36" s="7" t="inlineStr">
        <is>
          <t>SLOT_BASE</t>
        </is>
      </c>
      <c r="D36" s="8" t="n">
        <v>3</v>
      </c>
      <c r="E36" s="7" t="inlineStr">
        <is>
          <t>2 – 4</t>
        </is>
      </c>
      <c r="F36" s="9" t="inlineStr">
        <is>
          <t>编队植物数量。</t>
        </is>
      </c>
    </row>
    <row r="37">
      <c r="A37" s="7" t="inlineStr">
        <is>
          <t>成长</t>
        </is>
      </c>
      <c r="B37" s="7" t="inlineStr">
        <is>
          <t>每星DPS加成</t>
        </is>
      </c>
      <c r="C37" s="7" t="inlineStr">
        <is>
          <t>STAR_MULT</t>
        </is>
      </c>
      <c r="D37" s="8" t="n">
        <v>0.2</v>
      </c>
      <c r="E37" s="7" t="inlineStr">
        <is>
          <t>0.15 – 0.30</t>
        </is>
      </c>
      <c r="F37" s="9" t="inlineStr">
        <is>
          <t>每升 1 星 DPS 提升。5★ = 1.8×。</t>
        </is>
      </c>
    </row>
    <row r="38">
      <c r="A38" s="7" t="inlineStr">
        <is>
          <t>成长</t>
        </is>
      </c>
      <c r="B38" s="7" t="inlineStr">
        <is>
          <t>每级DPS加成</t>
        </is>
      </c>
      <c r="C38" s="7" t="inlineStr">
        <is>
          <t>LV_MULT</t>
        </is>
      </c>
      <c r="D38" s="8" t="n">
        <v>0.02</v>
      </c>
      <c r="E38" s="7" t="inlineStr">
        <is>
          <t>0.015 – 0.03</t>
        </is>
      </c>
      <c r="F38" s="9" t="inlineStr">
        <is>
          <t>每级 DPS 提升。Lv50 = 1.98×。★ 压缩过大会碾压局内卡牌。</t>
        </is>
      </c>
    </row>
    <row r="39">
      <c r="A39" s="7" t="inlineStr">
        <is>
          <t>成长</t>
        </is>
      </c>
      <c r="B39" s="7" t="inlineStr">
        <is>
          <t>伙伴位效率</t>
        </is>
      </c>
      <c r="C39" s="7" t="inlineStr">
        <is>
          <t>SLOT_EFF</t>
        </is>
      </c>
      <c r="D39" s="8" t="n">
        <v>0.5</v>
      </c>
      <c r="E39" s="7" t="inlineStr">
        <is>
          <t>0.4 – 0.7</t>
        </is>
      </c>
      <c r="F39" s="9" t="inlineStr">
        <is>
          <t>第 4/5/6 编队位上的伙伴植物按此效率计入战力（伙伴偏辅助向）。</t>
        </is>
      </c>
    </row>
    <row r="40">
      <c r="A40" s="7" t="inlineStr">
        <is>
          <t>成长</t>
        </is>
      </c>
      <c r="B40" s="7" t="inlineStr">
        <is>
          <t>附魔占输出比例</t>
        </is>
      </c>
      <c r="C40" s="7" t="inlineStr">
        <is>
          <t>ENCH_SHARE</t>
        </is>
      </c>
      <c r="D40" s="8" t="n">
        <v>0.45</v>
      </c>
      <c r="E40" s="7" t="inlineStr">
        <is>
          <t>0.3 – 0.6</t>
        </is>
      </c>
      <c r="F40" s="9" t="inlineStr">
        <is>
          <t>★ 技术水平对总输出的影响权重。见 04 表漏怪模型。</t>
        </is>
      </c>
    </row>
    <row r="41">
      <c r="A41" s="7" t="inlineStr">
        <is>
          <t>成长</t>
        </is>
      </c>
      <c r="B41" s="7" t="inlineStr">
        <is>
          <t>新手合成率</t>
        </is>
      </c>
      <c r="C41" s="7" t="inlineStr">
        <is>
          <t>MR_NOVICE</t>
        </is>
      </c>
      <c r="D41" s="8" t="n">
        <v>0.5</v>
      </c>
      <c r="E41" s="7" t="inlineStr">
        <is>
          <t>—</t>
        </is>
      </c>
      <c r="F41" s="9" t="inlineStr">
        <is>
          <t>新手每步平均合成次数（对比 MERGE_RATE 1.2）。</t>
        </is>
      </c>
    </row>
    <row r="42">
      <c r="A42" s="7" t="inlineStr">
        <is>
          <t>成长</t>
        </is>
      </c>
      <c r="B42" s="7" t="inlineStr">
        <is>
          <t>高手合成率</t>
        </is>
      </c>
      <c r="C42" s="7" t="inlineStr">
        <is>
          <t>MR_EXPERT</t>
        </is>
      </c>
      <c r="D42" s="8" t="n">
        <v>1.8</v>
      </c>
      <c r="E42" s="7" t="inlineStr">
        <is>
          <t>—</t>
        </is>
      </c>
      <c r="F42" s="9" t="inlineStr">
        <is>
          <t>高手每步平均合成次数。</t>
        </is>
      </c>
    </row>
    <row r="43">
      <c r="A43" s="7" t="inlineStr">
        <is>
          <t>风险</t>
        </is>
      </c>
      <c r="B43" s="7" t="inlineStr">
        <is>
          <t>失败保底比例</t>
        </is>
      </c>
      <c r="C43" s="7" t="inlineStr">
        <is>
          <t>B_FAIL</t>
        </is>
      </c>
      <c r="D43" s="8" t="n">
        <v>0.4</v>
      </c>
      <c r="E43" s="7" t="inlineStr">
        <is>
          <t>0.2 – 0.6</t>
        </is>
      </c>
      <c r="F43" s="9" t="inlineStr">
        <is>
          <t>★★ 冒险倾向主旋钮。0.4 → 继续阈值 p&gt;43%。见 07 表。</t>
        </is>
      </c>
    </row>
    <row r="44">
      <c r="A44" s="7" t="inlineStr">
        <is>
          <t>风险</t>
        </is>
      </c>
      <c r="B44" s="7" t="inlineStr">
        <is>
          <t>下一关收益/当前池</t>
        </is>
      </c>
      <c r="C44" s="7" t="inlineStr">
        <is>
          <t>R_RATIO</t>
        </is>
      </c>
      <c r="D44" s="8" t="n">
        <v>0.8</v>
      </c>
      <c r="E44" s="7" t="inlineStr">
        <is>
          <t>0.5 – 1.2</t>
        </is>
      </c>
      <c r="F44" s="9" t="inlineStr">
        <is>
          <t>由关卡收益倍率递增推导。</t>
        </is>
      </c>
    </row>
    <row r="45">
      <c r="A45" s="7" t="inlineStr">
        <is>
          <t>养成</t>
        </is>
      </c>
      <c r="B45" s="7" t="inlineStr">
        <is>
          <t>养成树基础成本</t>
        </is>
      </c>
      <c r="C45" s="7" t="inlineStr">
        <is>
          <t>TREE_BASE</t>
        </is>
      </c>
      <c r="D45" s="8" t="n">
        <v>40</v>
      </c>
      <c r="E45" s="7" t="inlineStr">
        <is>
          <t>30 – 60</t>
        </is>
      </c>
      <c r="F45" s="9" t="inlineStr">
        <is>
          <t>星尘。</t>
        </is>
      </c>
    </row>
    <row r="46">
      <c r="A46" s="7" t="inlineStr">
        <is>
          <t>养成</t>
        </is>
      </c>
      <c r="B46" s="7" t="inlineStr">
        <is>
          <t>养成树成本增长</t>
        </is>
      </c>
      <c r="C46" s="7" t="inlineStr">
        <is>
          <t>TREE_GROW</t>
        </is>
      </c>
      <c r="D46" s="8" t="n">
        <v>1.3</v>
      </c>
      <c r="E46" s="7" t="inlineStr">
        <is>
          <t>1.22 – 1.38</t>
        </is>
      </c>
      <c r="F46" s="9" t="inlineStr">
        <is>
          <t>★ 长线时长主旋钮。1.30 → 全树约 3–5 周。</t>
        </is>
      </c>
    </row>
    <row r="47">
      <c r="A47" s="7" t="inlineStr">
        <is>
          <t>养成</t>
        </is>
      </c>
      <c r="B47" s="7" t="inlineStr">
        <is>
          <t>养成树最大等级</t>
        </is>
      </c>
      <c r="C47" s="7" t="inlineStr">
        <is>
          <t>TREE_MAX</t>
        </is>
      </c>
      <c r="D47" s="8" t="n">
        <v>10</v>
      </c>
      <c r="E47" s="7" t="inlineStr">
        <is>
          <t>8 – 15</t>
        </is>
      </c>
      <c r="F47" s="9" t="inlineStr">
        <is>
          <t>每分支等级上限。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70" customWidth="1" min="4" max="4"/>
    <col width="8" customWidth="1" min="5" max="5"/>
    <col width="10" customWidth="1" min="6" max="6"/>
    <col width="15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1" customWidth="1" min="13" max="13"/>
  </cols>
  <sheetData>
    <row r="1">
      <c r="A1" s="1" t="inlineStr">
        <is>
          <t>方块值 → 充能 / 结晶 / 各货币 / 附魔伤害 换算表</t>
        </is>
      </c>
    </row>
    <row r="3" ht="30" customHeight="1">
      <c r="A3" s="6" t="inlineStr">
        <is>
          <t>方块值 v</t>
        </is>
      </c>
      <c r="B3" s="6" t="inlineStr">
        <is>
          <t>log₂v</t>
        </is>
      </c>
      <c r="C3" s="6" t="inlineStr">
        <is>
          <t>充能值</t>
        </is>
      </c>
      <c r="D3" s="6" t="inlineStr">
        <is>
          <t>是否超载</t>
        </is>
      </c>
      <c r="E3" s="6" t="inlineStr">
        <is>
          <t>品质</t>
        </is>
      </c>
      <c r="F3" s="6" t="inlineStr">
        <is>
          <t>威力系数</t>
        </is>
      </c>
      <c r="G3" s="6" t="inlineStr">
        <is>
          <t>附魔伤害(0★EP)</t>
        </is>
      </c>
      <c r="H3" s="6" t="inlineStr">
        <is>
          <t>CV(合成)</t>
        </is>
      </c>
      <c r="I3" s="6" t="inlineStr">
        <is>
          <t>CV(升华)</t>
        </is>
      </c>
      <c r="J3" s="6" t="inlineStr">
        <is>
          <t>星核</t>
        </is>
      </c>
      <c r="K3" s="6" t="inlineStr">
        <is>
          <t>核心</t>
        </is>
      </c>
      <c r="L3" s="6" t="inlineStr">
        <is>
          <t>金币(关1)</t>
        </is>
      </c>
      <c r="M3" s="6" t="inlineStr">
        <is>
          <t>碎片(关1)</t>
        </is>
      </c>
    </row>
    <row r="4">
      <c r="A4" s="7" t="n">
        <v>4</v>
      </c>
      <c r="B4" s="7" t="n">
        <v>2</v>
      </c>
      <c r="C4" s="10">
        <f>'01_核心常量'!$D$12*(B4-1)</f>
        <v/>
      </c>
      <c r="D4" s="7" t="inlineStr">
        <is>
          <t>—</t>
        </is>
      </c>
      <c r="E4" s="7" t="inlineStr">
        <is>
          <t>—</t>
        </is>
      </c>
      <c r="F4" s="7" t="inlineStr">
        <is>
          <t>—</t>
        </is>
      </c>
      <c r="G4" s="7" t="inlineStr">
        <is>
          <t>—</t>
        </is>
      </c>
      <c r="H4" s="10">
        <f>A4</f>
        <v/>
      </c>
      <c r="I4" s="10">
        <f>IF(A4&gt;='01_核心常量'!$D$20,A4*'01_核心常量'!$D$19,0)</f>
        <v/>
      </c>
      <c r="J4" s="11">
        <f>H4*'01_核心常量'!$D$16</f>
        <v/>
      </c>
      <c r="K4" s="7" t="n">
        <v>0</v>
      </c>
      <c r="L4" s="11">
        <f>H4*'01_核心常量'!$D$17</f>
        <v/>
      </c>
      <c r="M4" s="12">
        <f>H4*'01_核心常量'!$D$18</f>
        <v/>
      </c>
    </row>
    <row r="5">
      <c r="A5" s="7" t="n">
        <v>8</v>
      </c>
      <c r="B5" s="7" t="n">
        <v>3</v>
      </c>
      <c r="C5" s="10">
        <f>'01_核心常量'!$D$12*(B5-1)</f>
        <v/>
      </c>
      <c r="D5" s="7" t="inlineStr">
        <is>
          <t>—</t>
        </is>
      </c>
      <c r="E5" s="7" t="inlineStr">
        <is>
          <t>—</t>
        </is>
      </c>
      <c r="F5" s="7" t="inlineStr">
        <is>
          <t>—</t>
        </is>
      </c>
      <c r="G5" s="7" t="inlineStr">
        <is>
          <t>—</t>
        </is>
      </c>
      <c r="H5" s="10">
        <f>A5</f>
        <v/>
      </c>
      <c r="I5" s="10">
        <f>IF(A5&gt;='01_核心常量'!$D$20,A5*'01_核心常量'!$D$19,0)</f>
        <v/>
      </c>
      <c r="J5" s="11">
        <f>H5*'01_核心常量'!$D$16</f>
        <v/>
      </c>
      <c r="K5" s="7" t="n">
        <v>0</v>
      </c>
      <c r="L5" s="11">
        <f>H5*'01_核心常量'!$D$17</f>
        <v/>
      </c>
      <c r="M5" s="12">
        <f>H5*'01_核心常量'!$D$18</f>
        <v/>
      </c>
    </row>
    <row r="6">
      <c r="A6" s="7" t="n">
        <v>16</v>
      </c>
      <c r="B6" s="7" t="n">
        <v>4</v>
      </c>
      <c r="C6" s="10">
        <f>'01_核心常量'!$D$12*(B6-1)</f>
        <v/>
      </c>
      <c r="D6" s="7" t="inlineStr">
        <is>
          <t>—</t>
        </is>
      </c>
      <c r="E6" s="7" t="inlineStr">
        <is>
          <t>—</t>
        </is>
      </c>
      <c r="F6" s="7" t="inlineStr">
        <is>
          <t>—</t>
        </is>
      </c>
      <c r="G6" s="7" t="inlineStr">
        <is>
          <t>—</t>
        </is>
      </c>
      <c r="H6" s="10">
        <f>A6</f>
        <v/>
      </c>
      <c r="I6" s="10">
        <f>IF(A6&gt;='01_核心常量'!$D$20,A6*'01_核心常量'!$D$19,0)</f>
        <v/>
      </c>
      <c r="J6" s="11">
        <f>H6*'01_核心常量'!$D$16</f>
        <v/>
      </c>
      <c r="K6" s="7" t="n">
        <v>0</v>
      </c>
      <c r="L6" s="11">
        <f>H6*'01_核心常量'!$D$17</f>
        <v/>
      </c>
      <c r="M6" s="12">
        <f>H6*'01_核心常量'!$D$18</f>
        <v/>
      </c>
    </row>
    <row r="7">
      <c r="A7" s="7" t="n">
        <v>32</v>
      </c>
      <c r="B7" s="7" t="n">
        <v>5</v>
      </c>
      <c r="C7" s="10">
        <f>'01_核心常量'!$D$12*(B7-1)</f>
        <v/>
      </c>
      <c r="D7" s="7" t="inlineStr">
        <is>
          <t>—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—</t>
        </is>
      </c>
      <c r="H7" s="10">
        <f>A7</f>
        <v/>
      </c>
      <c r="I7" s="10">
        <f>IF(A7&gt;='01_核心常量'!$D$20,A7*'01_核心常量'!$D$19,0)</f>
        <v/>
      </c>
      <c r="J7" s="11">
        <f>H7*'01_核心常量'!$D$16</f>
        <v/>
      </c>
      <c r="K7" s="7" t="n">
        <v>0</v>
      </c>
      <c r="L7" s="11">
        <f>H7*'01_核心常量'!$D$17</f>
        <v/>
      </c>
      <c r="M7" s="12">
        <f>H7*'01_核心常量'!$D$18</f>
        <v/>
      </c>
    </row>
    <row r="8">
      <c r="A8" s="7" t="n">
        <v>64</v>
      </c>
      <c r="B8" s="7" t="n">
        <v>6</v>
      </c>
      <c r="C8" s="10">
        <f>'01_核心常量'!$D$12*(B8-1)</f>
        <v/>
      </c>
      <c r="D8" s="7" t="inlineStr">
        <is>
          <t>—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—</t>
        </is>
      </c>
      <c r="H8" s="10">
        <f>A8</f>
        <v/>
      </c>
      <c r="I8" s="10">
        <f>IF(A8&gt;='01_核心常量'!$D$20,A8*'01_核心常量'!$D$19,0)</f>
        <v/>
      </c>
      <c r="J8" s="11">
        <f>H8*'01_核心常量'!$D$16</f>
        <v/>
      </c>
      <c r="K8" s="7" t="n">
        <v>0</v>
      </c>
      <c r="L8" s="11">
        <f>H8*'01_核心常量'!$D$17</f>
        <v/>
      </c>
      <c r="M8" s="12">
        <f>H8*'01_核心常量'!$D$18</f>
        <v/>
      </c>
    </row>
    <row r="9">
      <c r="A9" s="7" t="n">
        <v>128</v>
      </c>
      <c r="B9" s="7" t="n">
        <v>7</v>
      </c>
      <c r="C9" s="10">
        <f>'01_核心常量'!$D$12*(B9-1)</f>
        <v/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  <c r="H9" s="10">
        <f>A9</f>
        <v/>
      </c>
      <c r="I9" s="10">
        <f>IF(A9&gt;='01_核心常量'!$D$20,A9*'01_核心常量'!$D$19,0)</f>
        <v/>
      </c>
      <c r="J9" s="11">
        <f>H9*'01_核心常量'!$D$16</f>
        <v/>
      </c>
      <c r="K9" s="7" t="n">
        <v>1</v>
      </c>
      <c r="L9" s="11">
        <f>H9*'01_核心常量'!$D$17</f>
        <v/>
      </c>
      <c r="M9" s="12">
        <f>H9*'01_核心常量'!$D$18</f>
        <v/>
      </c>
    </row>
    <row r="10">
      <c r="A10" s="7" t="n">
        <v>256</v>
      </c>
      <c r="B10" s="7" t="n">
        <v>8</v>
      </c>
      <c r="C10" s="10">
        <f>'01_核心常量'!$D$12*(B10-1)</f>
        <v/>
      </c>
      <c r="D10" s="7" t="inlineStr">
        <is>
          <t>超载</t>
        </is>
      </c>
      <c r="E10" s="7" t="inlineStr">
        <is>
          <t>1★</t>
        </is>
      </c>
      <c r="F10" s="7" t="n">
        <v>2</v>
      </c>
      <c r="G10" s="10">
        <f>'01_核心常量'!$D$13*F10</f>
        <v/>
      </c>
      <c r="H10" s="10">
        <f>A10</f>
        <v/>
      </c>
      <c r="I10" s="10">
        <f>IF(A10&gt;='01_核心常量'!$D$20,A10*'01_核心常量'!$D$19,0)</f>
        <v/>
      </c>
      <c r="J10" s="11">
        <f>H10*'01_核心常量'!$D$16</f>
        <v/>
      </c>
      <c r="K10" s="7" t="n">
        <v>1</v>
      </c>
      <c r="L10" s="11">
        <f>H10*'01_核心常量'!$D$17</f>
        <v/>
      </c>
      <c r="M10" s="12">
        <f>H10*'01_核心常量'!$D$18</f>
        <v/>
      </c>
    </row>
    <row r="11">
      <c r="A11" s="7" t="n">
        <v>512</v>
      </c>
      <c r="B11" s="7" t="n">
        <v>9</v>
      </c>
      <c r="C11" s="10">
        <f>'01_核心常量'!$D$12*(B11-1)</f>
        <v/>
      </c>
      <c r="D11" s="7" t="inlineStr">
        <is>
          <t>超载</t>
        </is>
      </c>
      <c r="E11" s="7" t="inlineStr">
        <is>
          <t>2★</t>
        </is>
      </c>
      <c r="F11" s="7" t="n">
        <v>3.5</v>
      </c>
      <c r="G11" s="10">
        <f>'01_核心常量'!$D$13*F11</f>
        <v/>
      </c>
      <c r="H11" s="10">
        <f>A11</f>
        <v/>
      </c>
      <c r="I11" s="10">
        <f>IF(A11&gt;='01_核心常量'!$D$20,A11*'01_核心常量'!$D$19,0)</f>
        <v/>
      </c>
      <c r="J11" s="11">
        <f>H11*'01_核心常量'!$D$16</f>
        <v/>
      </c>
      <c r="K11" s="7" t="n">
        <v>3</v>
      </c>
      <c r="L11" s="11">
        <f>H11*'01_核心常量'!$D$17</f>
        <v/>
      </c>
      <c r="M11" s="12">
        <f>H11*'01_核心常量'!$D$18</f>
        <v/>
      </c>
    </row>
    <row r="12">
      <c r="A12" s="7" t="n">
        <v>1024</v>
      </c>
      <c r="B12" s="7" t="n">
        <v>10</v>
      </c>
      <c r="C12" s="10">
        <f>'01_核心常量'!$D$12*(B12-1)</f>
        <v/>
      </c>
      <c r="D12" s="7" t="inlineStr">
        <is>
          <t>超载</t>
        </is>
      </c>
      <c r="E12" s="7" t="inlineStr">
        <is>
          <t>3★</t>
        </is>
      </c>
      <c r="F12" s="7" t="n">
        <v>6</v>
      </c>
      <c r="G12" s="10">
        <f>'01_核心常量'!$D$13*F12</f>
        <v/>
      </c>
      <c r="H12" s="10">
        <f>A12</f>
        <v/>
      </c>
      <c r="I12" s="10">
        <f>IF(A12&gt;='01_核心常量'!$D$20,A12*'01_核心常量'!$D$19,0)</f>
        <v/>
      </c>
      <c r="J12" s="11">
        <f>H12*'01_核心常量'!$D$16</f>
        <v/>
      </c>
      <c r="K12" s="7" t="n">
        <v>3</v>
      </c>
      <c r="L12" s="11">
        <f>H12*'01_核心常量'!$D$17</f>
        <v/>
      </c>
      <c r="M12" s="12">
        <f>H12*'01_核心常量'!$D$18</f>
        <v/>
      </c>
    </row>
    <row r="13">
      <c r="A13" s="7" t="n">
        <v>2048</v>
      </c>
      <c r="B13" s="7" t="n">
        <v>11</v>
      </c>
      <c r="C13" s="10">
        <f>'01_核心常量'!$D$12*(B13-1)</f>
        <v/>
      </c>
      <c r="D13" s="7" t="inlineStr">
        <is>
          <t>超载</t>
        </is>
      </c>
      <c r="E13" s="7" t="inlineStr">
        <is>
          <t>4★</t>
        </is>
      </c>
      <c r="F13" s="7" t="n">
        <v>10</v>
      </c>
      <c r="G13" s="10">
        <f>'01_核心常量'!$D$13*F13</f>
        <v/>
      </c>
      <c r="H13" s="10">
        <f>A13</f>
        <v/>
      </c>
      <c r="I13" s="10">
        <f>IF(A13&gt;='01_核心常量'!$D$20,A13*'01_核心常量'!$D$19,0)</f>
        <v/>
      </c>
      <c r="J13" s="11">
        <f>H13*'01_核心常量'!$D$16</f>
        <v/>
      </c>
      <c r="K13" s="7" t="n">
        <v>8</v>
      </c>
      <c r="L13" s="11">
        <f>H13*'01_核心常量'!$D$17</f>
        <v/>
      </c>
      <c r="M13" s="12">
        <f>H13*'01_核心常量'!$D$18</f>
        <v/>
      </c>
    </row>
    <row r="14">
      <c r="A14" s="7" t="n">
        <v>4096</v>
      </c>
      <c r="B14" s="7" t="n">
        <v>12</v>
      </c>
      <c r="C14" s="10">
        <f>'01_核心常量'!$D$12*(B14-1)</f>
        <v/>
      </c>
      <c r="D14" s="7" t="inlineStr">
        <is>
          <t>超载</t>
        </is>
      </c>
      <c r="E14" s="7" t="inlineStr">
        <is>
          <t>5★</t>
        </is>
      </c>
      <c r="F14" s="7" t="n">
        <v>16</v>
      </c>
      <c r="G14" s="10">
        <f>'01_核心常量'!$D$13*F14</f>
        <v/>
      </c>
      <c r="H14" s="10">
        <f>A14</f>
        <v/>
      </c>
      <c r="I14" s="10">
        <f>IF(A14&gt;='01_核心常量'!$D$20,A14*'01_核心常量'!$D$19,0)</f>
        <v/>
      </c>
      <c r="J14" s="11">
        <f>H14*'01_核心常量'!$D$16</f>
        <v/>
      </c>
      <c r="K14" s="7" t="n">
        <v>8</v>
      </c>
      <c r="L14" s="11">
        <f>H14*'01_核心常量'!$D$17</f>
        <v/>
      </c>
      <c r="M14" s="12">
        <f>H14*'01_核心常量'!$D$18</f>
        <v/>
      </c>
    </row>
    <row r="15">
      <c r="A15" s="7" t="n">
        <v>8192</v>
      </c>
      <c r="B15" s="7" t="n">
        <v>13</v>
      </c>
      <c r="C15" s="10">
        <f>'01_核心常量'!$D$12*(B15-1)</f>
        <v/>
      </c>
      <c r="D15" s="7" t="inlineStr">
        <is>
          <t>—</t>
        </is>
      </c>
      <c r="E15" s="7" t="inlineStr">
        <is>
          <t>—</t>
        </is>
      </c>
      <c r="F15" s="7" t="inlineStr">
        <is>
          <t>—</t>
        </is>
      </c>
      <c r="G15" s="7" t="inlineStr">
        <is>
          <t>—</t>
        </is>
      </c>
      <c r="H15" s="10">
        <f>A15</f>
        <v/>
      </c>
      <c r="I15" s="10">
        <f>IF(A15&gt;='01_核心常量'!$D$20,A15*'01_核心常量'!$D$19,0)</f>
        <v/>
      </c>
      <c r="J15" s="11">
        <f>H15*'01_核心常量'!$D$16</f>
        <v/>
      </c>
      <c r="K15" s="7" t="n">
        <v>8</v>
      </c>
      <c r="L15" s="11">
        <f>H15*'01_核心常量'!$D$17</f>
        <v/>
      </c>
      <c r="M15" s="12">
        <f>H15*'01_核心常量'!$D$18</f>
        <v/>
      </c>
    </row>
    <row r="17">
      <c r="A17" s="2" t="inlineStr">
        <is>
          <t>共鸣倍率（连续同元素触发）</t>
        </is>
      </c>
    </row>
    <row r="18" ht="30" customHeight="1">
      <c r="A18" s="6" t="inlineStr">
        <is>
          <t>连续次数</t>
        </is>
      </c>
      <c r="B18" s="6" t="inlineStr">
        <is>
          <t>威力加成</t>
        </is>
      </c>
      <c r="C18" s="6" t="inlineStr">
        <is>
          <t>等效附魔伤害</t>
        </is>
      </c>
      <c r="D18" s="6" t="inlineStr">
        <is>
          <t>说明</t>
        </is>
      </c>
    </row>
    <row r="19">
      <c r="A19" s="7" t="n">
        <v>1</v>
      </c>
      <c r="B19" s="7" t="n">
        <v>1</v>
      </c>
      <c r="C19" s="10">
        <f>'01_核心常量'!$D$13*B19</f>
        <v/>
      </c>
      <c r="D19" s="7" t="inlineStr">
        <is>
          <t>首次触发，基准。</t>
        </is>
      </c>
    </row>
    <row r="20">
      <c r="A20" s="7" t="n">
        <v>2</v>
      </c>
      <c r="B20" s="10">
        <f>'01_核心常量'!$D$14</f>
        <v/>
      </c>
      <c r="C20" s="10">
        <f>'01_核心常量'!$D$13*B20</f>
        <v/>
      </c>
      <c r="D20" s="7" t="inlineStr">
        <is>
          <t>轮盘排 [X,X] 的收益。</t>
        </is>
      </c>
    </row>
    <row r="21">
      <c r="A21" s="7" t="inlineStr">
        <is>
          <t>3+</t>
        </is>
      </c>
      <c r="B21" s="10">
        <f>'01_核心常量'!$D$15</f>
        <v/>
      </c>
      <c r="C21" s="10">
        <f>'01_核心常量'!$D$13*B21</f>
        <v/>
      </c>
      <c r="D21" s="7" t="inlineStr">
        <is>
          <t>附带「元素余韵」：持续类效果时长 +50%。轮盘排 [X,X,X] 是爆发构筑核心。</t>
        </is>
      </c>
    </row>
    <row r="23">
      <c r="A23" s="5" t="inlineStr">
        <is>
          <t>设计校验：一次 2048 超载 = 4★ × EP = 600 伤害 = 15 个第 1 关小兵。这是玩家截图分享的 jackpot 时刻。</t>
        </is>
      </c>
    </row>
    <row r="24">
      <c r="A24" s="5" t="inlineStr">
        <is>
          <t>设计校验：最低合成（4）只给 4 充能，最高（2048）给 40。差距 10 倍 —— 保证大数字的战略价值，同时小合成不至于毫无意义。</t>
        </is>
      </c>
    </row>
    <row r="25">
      <c r="A25" s="5" t="inlineStr">
        <is>
          <t>调参方向：若埋点显示每波小附魔 &gt; 6 次，升高 CHARGE_MAX 或降低 CHARGE_K；若 &lt; 2 次则反向。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13" customWidth="1" min="4" max="4"/>
    <col width="11" customWidth="1" min="5" max="5"/>
    <col width="12" customWidth="1" min="6" max="6"/>
    <col width="11" customWidth="1" min="7" max="7"/>
    <col width="11" customWidth="1" min="8" max="8"/>
    <col width="12" customWidth="1" min="9" max="9"/>
    <col width="10" customWidth="1" min="10" max="10"/>
    <col width="11" customWidth="1" min="11" max="11"/>
    <col width="10" customWidth="1" min="12" max="12"/>
    <col width="26" customWidth="1" min="13" max="13"/>
  </cols>
  <sheetData>
    <row r="1">
      <c r="A1" s="1" t="inlineStr">
        <is>
          <t>波次节奏模型 —— 估算每波产出（★ MERGE_RATE 与平均合成值必须用 Monte Carlo 校准）</t>
        </is>
      </c>
    </row>
    <row r="3" ht="30" customHeight="1">
      <c r="A3" s="6" t="inlineStr">
        <is>
          <t>关卡</t>
        </is>
      </c>
      <c r="B3" s="6" t="inlineStr">
        <is>
          <t>生成池</t>
        </is>
      </c>
      <c r="C3" s="6" t="inlineStr">
        <is>
          <t>生成期望</t>
        </is>
      </c>
      <c r="D3" s="6" t="inlineStr">
        <is>
          <t>平均合成值</t>
        </is>
      </c>
      <c r="E3" s="6" t="inlineStr">
        <is>
          <t>每波步数</t>
        </is>
      </c>
      <c r="F3" s="6" t="inlineStr">
        <is>
          <t>合成次数/波</t>
        </is>
      </c>
      <c r="G3" s="6" t="inlineStr">
        <is>
          <t>ΣCV/波</t>
        </is>
      </c>
      <c r="H3" s="6" t="inlineStr">
        <is>
          <t>充能/波</t>
        </is>
      </c>
      <c r="I3" s="6" t="inlineStr">
        <is>
          <t>小附魔/波</t>
        </is>
      </c>
      <c r="J3" s="6" t="inlineStr">
        <is>
          <t>星核/波</t>
        </is>
      </c>
      <c r="K3" s="6" t="inlineStr">
        <is>
          <t>金币/波</t>
        </is>
      </c>
      <c r="L3" s="6" t="inlineStr">
        <is>
          <t>碎片/波</t>
        </is>
      </c>
      <c r="M3" s="6" t="inlineStr">
        <is>
          <t>目标校验</t>
        </is>
      </c>
    </row>
    <row r="4">
      <c r="A4" s="7" t="n">
        <v>1</v>
      </c>
      <c r="B4" s="7" t="inlineStr">
        <is>
          <t>2(90%)/4(10%)</t>
        </is>
      </c>
      <c r="C4" s="7" t="n">
        <v>2.2</v>
      </c>
      <c r="D4" s="13" t="n">
        <v>7</v>
      </c>
      <c r="E4" s="11">
        <f>'01_核心常量'!$D$21/'01_核心常量'!$D$8+'01_核心常量'!$D$9</f>
        <v/>
      </c>
      <c r="F4" s="11">
        <f>E4*'01_核心常量'!$D$10</f>
        <v/>
      </c>
      <c r="G4" s="14">
        <f>F4*D4</f>
        <v/>
      </c>
      <c r="H4" s="14">
        <f>F4*'01_核心常量'!$D$12*(LOG(D4,2)-1)</f>
        <v/>
      </c>
      <c r="I4" s="12">
        <f>H4/'01_核心常量'!$D$11</f>
        <v/>
      </c>
      <c r="J4" s="11">
        <f>G4*'01_核心常量'!$D$16</f>
        <v/>
      </c>
      <c r="K4" s="14">
        <f>G4*'01_核心常量'!$D$17*(1+'01_核心常量'!$D$29*(A4-1))</f>
        <v/>
      </c>
      <c r="L4" s="11">
        <f>G4*'01_核心常量'!$D$18*(1+'01_核心常量'!$D$29*(A4-1))</f>
        <v/>
      </c>
      <c r="M4" s="7" t="inlineStr">
        <is>
          <t>★目标 3–4 次/波</t>
        </is>
      </c>
    </row>
    <row r="5">
      <c r="A5" s="7" t="n">
        <v>2</v>
      </c>
      <c r="B5" s="7" t="inlineStr">
        <is>
          <t>2(90%)/4(10%)</t>
        </is>
      </c>
      <c r="C5" s="7" t="n">
        <v>2.2</v>
      </c>
      <c r="D5" s="13" t="n">
        <v>8</v>
      </c>
      <c r="E5" s="11">
        <f>'01_核心常量'!$D$21/'01_核心常量'!$D$8+'01_核心常量'!$D$9</f>
        <v/>
      </c>
      <c r="F5" s="11">
        <f>E5*'01_核心常量'!$D$10</f>
        <v/>
      </c>
      <c r="G5" s="14">
        <f>F5*D5</f>
        <v/>
      </c>
      <c r="H5" s="14">
        <f>F5*'01_核心常量'!$D$12*(LOG(D5,2)-1)</f>
        <v/>
      </c>
      <c r="I5" s="12">
        <f>H5/'01_核心常量'!$D$11</f>
        <v/>
      </c>
      <c r="J5" s="11">
        <f>G5*'01_核心常量'!$D$16</f>
        <v/>
      </c>
      <c r="K5" s="14">
        <f>G5*'01_核心常量'!$D$17*(1+'01_核心常量'!$D$29*(A5-1))</f>
        <v/>
      </c>
      <c r="L5" s="11">
        <f>G5*'01_核心常量'!$D$18*(1+'01_核心常量'!$D$29*(A5-1))</f>
        <v/>
      </c>
      <c r="M5" s="7" t="inlineStr">
        <is>
          <t>★目标 3–4 次/波</t>
        </is>
      </c>
    </row>
    <row r="6">
      <c r="A6" s="7" t="n">
        <v>3</v>
      </c>
      <c r="B6" s="7" t="inlineStr">
        <is>
          <t>4(80%)/8(20%)</t>
        </is>
      </c>
      <c r="C6" s="7" t="n">
        <v>4.8</v>
      </c>
      <c r="D6" s="13" t="n">
        <v>16</v>
      </c>
      <c r="E6" s="11">
        <f>'01_核心常量'!$D$21/'01_核心常量'!$D$8+'01_核心常量'!$D$9</f>
        <v/>
      </c>
      <c r="F6" s="11">
        <f>E6*'01_核心常量'!$D$10</f>
        <v/>
      </c>
      <c r="G6" s="14">
        <f>F6*D6</f>
        <v/>
      </c>
      <c r="H6" s="14">
        <f>F6*'01_核心常量'!$D$12*(LOG(D6,2)-1)</f>
        <v/>
      </c>
      <c r="I6" s="12">
        <f>H6/'01_核心常量'!$D$11</f>
        <v/>
      </c>
      <c r="J6" s="11">
        <f>G6*'01_核心常量'!$D$16</f>
        <v/>
      </c>
      <c r="K6" s="14">
        <f>G6*'01_核心常量'!$D$17*(1+'01_核心常量'!$D$29*(A6-1))</f>
        <v/>
      </c>
      <c r="L6" s="11">
        <f>G6*'01_核心常量'!$D$18*(1+'01_核心常量'!$D$29*(A6-1))</f>
        <v/>
      </c>
      <c r="M6" s="7" t="inlineStr"/>
    </row>
    <row r="7">
      <c r="A7" s="7" t="n">
        <v>4</v>
      </c>
      <c r="B7" s="7" t="inlineStr">
        <is>
          <t>4(80%)/8(20%)</t>
        </is>
      </c>
      <c r="C7" s="7" t="n">
        <v>4.8</v>
      </c>
      <c r="D7" s="13" t="n">
        <v>18</v>
      </c>
      <c r="E7" s="11">
        <f>'01_核心常量'!$D$21/'01_核心常量'!$D$8+'01_核心常量'!$D$9</f>
        <v/>
      </c>
      <c r="F7" s="11">
        <f>E7*'01_核心常量'!$D$10</f>
        <v/>
      </c>
      <c r="G7" s="14">
        <f>F7*D7</f>
        <v/>
      </c>
      <c r="H7" s="14">
        <f>F7*'01_核心常量'!$D$12*(LOG(D7,2)-1)</f>
        <v/>
      </c>
      <c r="I7" s="12">
        <f>H7/'01_核心常量'!$D$11</f>
        <v/>
      </c>
      <c r="J7" s="11">
        <f>G7*'01_核心常量'!$D$16</f>
        <v/>
      </c>
      <c r="K7" s="14">
        <f>G7*'01_核心常量'!$D$17*(1+'01_核心常量'!$D$29*(A7-1))</f>
        <v/>
      </c>
      <c r="L7" s="11">
        <f>G7*'01_核心常量'!$D$18*(1+'01_核心常量'!$D$29*(A7-1))</f>
        <v/>
      </c>
      <c r="M7" s="7" t="inlineStr"/>
    </row>
    <row r="8">
      <c r="A8" s="7" t="n">
        <v>5</v>
      </c>
      <c r="B8" s="7" t="inlineStr">
        <is>
          <t>8(80%)/16(20%)</t>
        </is>
      </c>
      <c r="C8" s="7" t="n">
        <v>9.6</v>
      </c>
      <c r="D8" s="13" t="n">
        <v>34</v>
      </c>
      <c r="E8" s="11">
        <f>'01_核心常量'!$D$21/'01_核心常量'!$D$8+'01_核心常量'!$D$9</f>
        <v/>
      </c>
      <c r="F8" s="11">
        <f>E8*'01_核心常量'!$D$10</f>
        <v/>
      </c>
      <c r="G8" s="14">
        <f>F8*D8</f>
        <v/>
      </c>
      <c r="H8" s="14">
        <f>F8*'01_核心常量'!$D$12*(LOG(D8,2)-1)</f>
        <v/>
      </c>
      <c r="I8" s="15">
        <f>H8/'01_核心常量'!$D$11</f>
        <v/>
      </c>
      <c r="J8" s="11">
        <f>G8*'01_核心常量'!$D$16</f>
        <v/>
      </c>
      <c r="K8" s="14">
        <f>G8*'01_核心常量'!$D$17*(1+'01_核心常量'!$D$29*(A8-1))</f>
        <v/>
      </c>
      <c r="L8" s="11">
        <f>G8*'01_核心常量'!$D$18*(1+'01_核心常量'!$D$29*(A8-1))</f>
        <v/>
      </c>
      <c r="M8" s="7" t="inlineStr"/>
    </row>
    <row r="9">
      <c r="A9" s="7" t="n">
        <v>6</v>
      </c>
      <c r="B9" s="7" t="inlineStr">
        <is>
          <t>8(80%)/16(20%)</t>
        </is>
      </c>
      <c r="C9" s="7" t="n">
        <v>9.6</v>
      </c>
      <c r="D9" s="13" t="n">
        <v>38</v>
      </c>
      <c r="E9" s="11">
        <f>'01_核心常量'!$D$21/'01_核心常量'!$D$8+'01_核心常量'!$D$9</f>
        <v/>
      </c>
      <c r="F9" s="11">
        <f>E9*'01_核心常量'!$D$10</f>
        <v/>
      </c>
      <c r="G9" s="14">
        <f>F9*D9</f>
        <v/>
      </c>
      <c r="H9" s="14">
        <f>F9*'01_核心常量'!$D$12*(LOG(D9,2)-1)</f>
        <v/>
      </c>
      <c r="I9" s="15">
        <f>H9/'01_核心常量'!$D$11</f>
        <v/>
      </c>
      <c r="J9" s="11">
        <f>G9*'01_核心常量'!$D$16</f>
        <v/>
      </c>
      <c r="K9" s="14">
        <f>G9*'01_核心常量'!$D$17*(1+'01_核心常量'!$D$29*(A9-1))</f>
        <v/>
      </c>
      <c r="L9" s="11">
        <f>G9*'01_核心常量'!$D$18*(1+'01_核心常量'!$D$29*(A9-1))</f>
        <v/>
      </c>
      <c r="M9" s="7" t="inlineStr"/>
    </row>
    <row r="10">
      <c r="A10" s="7" t="n">
        <v>7</v>
      </c>
      <c r="B10" s="7" t="inlineStr">
        <is>
          <t>16(85%)/32(15%)</t>
        </is>
      </c>
      <c r="C10" s="7" t="n">
        <v>18.4</v>
      </c>
      <c r="D10" s="13" t="n">
        <v>64</v>
      </c>
      <c r="E10" s="11">
        <f>'01_核心常量'!$D$21/'01_核心常量'!$D$8+'01_核心常量'!$D$9</f>
        <v/>
      </c>
      <c r="F10" s="11">
        <f>E10*'01_核心常量'!$D$10</f>
        <v/>
      </c>
      <c r="G10" s="14">
        <f>F10*D10</f>
        <v/>
      </c>
      <c r="H10" s="14">
        <f>F10*'01_核心常量'!$D$12*(LOG(D10,2)-1)</f>
        <v/>
      </c>
      <c r="I10" s="15">
        <f>H10/'01_核心常量'!$D$11</f>
        <v/>
      </c>
      <c r="J10" s="11">
        <f>G10*'01_核心常量'!$D$16</f>
        <v/>
      </c>
      <c r="K10" s="14">
        <f>G10*'01_核心常量'!$D$17*(1+'01_核心常量'!$D$29*(A10-1))</f>
        <v/>
      </c>
      <c r="L10" s="11">
        <f>G10*'01_核心常量'!$D$18*(1+'01_核心常量'!$D$29*(A10-1))</f>
        <v/>
      </c>
      <c r="M10" s="7" t="inlineStr">
        <is>
          <t>偏高，需校准</t>
        </is>
      </c>
    </row>
    <row r="11">
      <c r="A11" s="7" t="n">
        <v>8</v>
      </c>
      <c r="B11" s="7" t="inlineStr">
        <is>
          <t>16(85%)/32(15%)</t>
        </is>
      </c>
      <c r="C11" s="7" t="n">
        <v>18.4</v>
      </c>
      <c r="D11" s="13" t="n">
        <v>70</v>
      </c>
      <c r="E11" s="11">
        <f>'01_核心常量'!$D$21/'01_核心常量'!$D$8+'01_核心常量'!$D$9</f>
        <v/>
      </c>
      <c r="F11" s="11">
        <f>E11*'01_核心常量'!$D$10</f>
        <v/>
      </c>
      <c r="G11" s="14">
        <f>F11*D11</f>
        <v/>
      </c>
      <c r="H11" s="14">
        <f>F11*'01_核心常量'!$D$12*(LOG(D11,2)-1)</f>
        <v/>
      </c>
      <c r="I11" s="15">
        <f>H11/'01_核心常量'!$D$11</f>
        <v/>
      </c>
      <c r="J11" s="11">
        <f>G11*'01_核心常量'!$D$16</f>
        <v/>
      </c>
      <c r="K11" s="14">
        <f>G11*'01_核心常量'!$D$17*(1+'01_核心常量'!$D$29*(A11-1))</f>
        <v/>
      </c>
      <c r="L11" s="11">
        <f>G11*'01_核心常量'!$D$18*(1+'01_核心常量'!$D$29*(A11-1))</f>
        <v/>
      </c>
      <c r="M11" s="7" t="inlineStr">
        <is>
          <t>偏高，需校准</t>
        </is>
      </c>
    </row>
    <row r="12">
      <c r="A12" s="7" t="n">
        <v>9</v>
      </c>
      <c r="B12" s="7" t="inlineStr">
        <is>
          <t>32(85%)/64(15%)</t>
        </is>
      </c>
      <c r="C12" s="7" t="n">
        <v>36.8</v>
      </c>
      <c r="D12" s="13" t="n">
        <v>130</v>
      </c>
      <c r="E12" s="11">
        <f>'01_核心常量'!$D$21/'01_核心常量'!$D$8+'01_核心常量'!$D$9</f>
        <v/>
      </c>
      <c r="F12" s="11">
        <f>E12*'01_核心常量'!$D$10</f>
        <v/>
      </c>
      <c r="G12" s="14">
        <f>F12*D12</f>
        <v/>
      </c>
      <c r="H12" s="14">
        <f>F12*'01_核心常量'!$D$12*(LOG(D12,2)-1)</f>
        <v/>
      </c>
      <c r="I12" s="15">
        <f>H12/'01_核心常量'!$D$11</f>
        <v/>
      </c>
      <c r="J12" s="11">
        <f>G12*'01_核心常量'!$D$16</f>
        <v/>
      </c>
      <c r="K12" s="14">
        <f>G12*'01_核心常量'!$D$17*(1+'01_核心常量'!$D$29*(A12-1))</f>
        <v/>
      </c>
      <c r="L12" s="11">
        <f>G12*'01_核心常量'!$D$18*(1+'01_核心常量'!$D$29*(A12-1))</f>
        <v/>
      </c>
      <c r="M12" s="7" t="inlineStr">
        <is>
          <t>偏高，需校准</t>
        </is>
      </c>
    </row>
    <row r="13">
      <c r="A13" s="7" t="n">
        <v>10</v>
      </c>
      <c r="B13" s="7" t="inlineStr">
        <is>
          <t>32(85%)/64(15%)</t>
        </is>
      </c>
      <c r="C13" s="7" t="n">
        <v>36.8</v>
      </c>
      <c r="D13" s="13" t="n">
        <v>140</v>
      </c>
      <c r="E13" s="11">
        <f>'01_核心常量'!$D$21/'01_核心常量'!$D$8+'01_核心常量'!$D$9</f>
        <v/>
      </c>
      <c r="F13" s="11">
        <f>E13*'01_核心常量'!$D$10</f>
        <v/>
      </c>
      <c r="G13" s="14">
        <f>F13*D13</f>
        <v/>
      </c>
      <c r="H13" s="14">
        <f>F13*'01_核心常量'!$D$12*(LOG(D13,2)-1)</f>
        <v/>
      </c>
      <c r="I13" s="15">
        <f>H13/'01_核心常量'!$D$11</f>
        <v/>
      </c>
      <c r="J13" s="11">
        <f>G13*'01_核心常量'!$D$16</f>
        <v/>
      </c>
      <c r="K13" s="14">
        <f>G13*'01_核心常量'!$D$17*(1+'01_核心常量'!$D$29*(A13-1))</f>
        <v/>
      </c>
      <c r="L13" s="11">
        <f>G13*'01_核心常量'!$D$18*(1+'01_核心常量'!$D$29*(A13-1))</f>
        <v/>
      </c>
      <c r="M13" s="7" t="inlineStr">
        <is>
          <t>偏高，需校准</t>
        </is>
      </c>
    </row>
    <row r="14">
      <c r="A14" s="7" t="n">
        <v>12</v>
      </c>
      <c r="B14" s="7" t="inlineStr">
        <is>
          <t>32(85%)/64(15%)</t>
        </is>
      </c>
      <c r="C14" s="7" t="n">
        <v>36.8</v>
      </c>
      <c r="D14" s="13" t="n">
        <v>155</v>
      </c>
      <c r="E14" s="11">
        <f>'01_核心常量'!$D$21/'01_核心常量'!$D$8+'01_核心常量'!$D$9</f>
        <v/>
      </c>
      <c r="F14" s="11">
        <f>E14*'01_核心常量'!$D$10</f>
        <v/>
      </c>
      <c r="G14" s="14">
        <f>F14*D14</f>
        <v/>
      </c>
      <c r="H14" s="14">
        <f>F14*'01_核心常量'!$D$12*(LOG(D14,2)-1)</f>
        <v/>
      </c>
      <c r="I14" s="15">
        <f>H14/'01_核心常量'!$D$11</f>
        <v/>
      </c>
      <c r="J14" s="11">
        <f>G14*'01_核心常量'!$D$16</f>
        <v/>
      </c>
      <c r="K14" s="14">
        <f>G14*'01_核心常量'!$D$17*(1+'01_核心常量'!$D$29*(A14-1))</f>
        <v/>
      </c>
      <c r="L14" s="11">
        <f>G14*'01_核心常量'!$D$18*(1+'01_核心常量'!$D$29*(A14-1))</f>
        <v/>
      </c>
      <c r="M14" s="7" t="inlineStr">
        <is>
          <t>偏高，需校准</t>
        </is>
      </c>
    </row>
    <row r="15">
      <c r="A15" s="7" t="n">
        <v>15</v>
      </c>
      <c r="B15" s="7" t="inlineStr">
        <is>
          <t>32(85%)/64(15%)</t>
        </is>
      </c>
      <c r="C15" s="7" t="n">
        <v>36.8</v>
      </c>
      <c r="D15" s="13" t="n">
        <v>170</v>
      </c>
      <c r="E15" s="11">
        <f>'01_核心常量'!$D$21/'01_核心常量'!$D$8+'01_核心常量'!$D$9</f>
        <v/>
      </c>
      <c r="F15" s="11">
        <f>E15*'01_核心常量'!$D$10</f>
        <v/>
      </c>
      <c r="G15" s="14">
        <f>F15*D15</f>
        <v/>
      </c>
      <c r="H15" s="14">
        <f>F15*'01_核心常量'!$D$12*(LOG(D15,2)-1)</f>
        <v/>
      </c>
      <c r="I15" s="15">
        <f>H15/'01_核心常量'!$D$11</f>
        <v/>
      </c>
      <c r="J15" s="11">
        <f>G15*'01_核心常量'!$D$16</f>
        <v/>
      </c>
      <c r="K15" s="14">
        <f>G15*'01_核心常量'!$D$17*(1+'01_核心常量'!$D$29*(A15-1))</f>
        <v/>
      </c>
      <c r="L15" s="11">
        <f>G15*'01_核心常量'!$D$18*(1+'01_核心常量'!$D$29*(A15-1))</f>
        <v/>
      </c>
      <c r="M15" s="7" t="inlineStr">
        <is>
          <t>偏高，需校准</t>
        </is>
      </c>
    </row>
    <row r="17">
      <c r="A17" s="5" t="inlineStr">
        <is>
          <t>【模型警告】「平均合成值」列是估算值，标记黄色。真实值必须用 10,000 局 Monte Carlo 统计得出，这是纸面原型阶段的首要任务。</t>
        </is>
      </c>
    </row>
    <row r="18">
      <c r="A18" s="5" t="inlineStr">
        <is>
          <t>【设计意图】星核/波 目标 20–30，即每波可释放约 1 次战术指令。若超过 50，说明玩家能靠指令无限续命，战斗压力失效。</t>
        </is>
      </c>
    </row>
    <row r="19">
      <c r="A19" s="5" t="inlineStr">
        <is>
          <t>【设计意图】小附魔/波 随关卡上升是刻意的 —— 后期玩家应该感到「元素轰炸」，这是爽感成长曲线的一部分，但也必须监控不超 6 次。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1" customWidth="1" min="3" max="3"/>
    <col width="12" customWidth="1" min="4" max="4"/>
    <col width="60" customWidth="1" min="5" max="5"/>
    <col width="10" customWidth="1" min="6" max="6"/>
    <col width="60" customWidth="1" min="7" max="7"/>
    <col width="16" customWidth="1" min="8" max="8"/>
    <col width="16" customWidth="1" min="9" max="9"/>
    <col width="13" customWidth="1" min="10" max="10"/>
  </cols>
  <sheetData>
    <row r="1">
      <c r="A1" s="1" t="inlineStr">
        <is>
          <t>关卡缩放 —— 敌人强度 vs 玩家战力成长（含自然撞墙点判定）</t>
        </is>
      </c>
    </row>
    <row r="3" ht="30" customHeight="1">
      <c r="A3" s="6" t="inlineStr">
        <is>
          <t>关卡 n</t>
        </is>
      </c>
      <c r="B3" s="6" t="inlineStr">
        <is>
          <t>敌人HP倍率</t>
        </is>
      </c>
      <c r="C3" s="6" t="inlineStr">
        <is>
          <t>敌人伤害倍率</t>
        </is>
      </c>
      <c r="D3" s="6" t="inlineStr">
        <is>
          <t>敌人速度倍率</t>
        </is>
      </c>
      <c r="E3" s="6" t="inlineStr">
        <is>
          <t>关卡收益倍率</t>
        </is>
      </c>
      <c r="F3" s="6" t="inlineStr">
        <is>
          <t>玩家战力倍率</t>
        </is>
      </c>
      <c r="G3" s="6" t="inlineStr">
        <is>
          <t>余量比</t>
        </is>
      </c>
      <c r="H3" s="6" t="inlineStr">
        <is>
          <t>状态</t>
        </is>
      </c>
      <c r="I3" s="6" t="inlineStr">
        <is>
          <t>第5波敌人总HP(估)</t>
        </is>
      </c>
      <c r="J3" s="6" t="inlineStr">
        <is>
          <t>玩家DPS(估)</t>
        </is>
      </c>
    </row>
    <row r="4">
      <c r="A4" s="7" t="n">
        <v>1</v>
      </c>
      <c r="B4" s="12">
        <f>'01_核心常量'!$D$23^(A4-1)*(1+'01_核心常量'!$D$24*(A4-1))</f>
        <v/>
      </c>
      <c r="C4" s="12">
        <f>'01_核心常量'!$D$28^(A4-1)</f>
        <v/>
      </c>
      <c r="D4" s="12">
        <f>1+'01_核心常量'!$D$27*(A4-1)</f>
        <v/>
      </c>
      <c r="E4" s="12" t="n">
        <v>1</v>
      </c>
      <c r="F4" s="16" t="n">
        <v>1</v>
      </c>
      <c r="G4" s="12">
        <f>F4/B4</f>
        <v/>
      </c>
      <c r="H4" s="17">
        <f>IF(G4&gt;1.15,"轻松",IF(G4&gt;0.85,"势均力敌",IF(G4&gt;0.6,"吃力","撞墙")))</f>
        <v/>
      </c>
      <c r="I4" s="14">
        <f>1400*B4</f>
        <v/>
      </c>
      <c r="J4" s="14">
        <f>'01_核心常量'!$D$35*'01_核心常量'!$D$36*F4</f>
        <v/>
      </c>
    </row>
    <row r="5">
      <c r="A5" s="7" t="n">
        <v>2</v>
      </c>
      <c r="B5" s="12">
        <f>'01_核心常量'!$D$23^(A5-1)*(1+'01_核心常量'!$D$24*(A5-1))</f>
        <v/>
      </c>
      <c r="C5" s="12">
        <f>'01_核心常量'!$D$28^(A5-1)</f>
        <v/>
      </c>
      <c r="D5" s="12">
        <f>1+'01_核心常量'!$D$27*(A5-1)</f>
        <v/>
      </c>
      <c r="E5" s="12">
        <f>E4+'01_核心常量'!$D$29+0.1*(A5-2)</f>
        <v/>
      </c>
      <c r="F5" s="16">
        <f>F4*(1+'01_核心常量'!$D$33*'01_核心常量'!$D$34^(A5-2))^'01_核心常量'!$D$32</f>
        <v/>
      </c>
      <c r="G5" s="12">
        <f>F5/B5</f>
        <v/>
      </c>
      <c r="H5" s="17">
        <f>IF(G5&gt;1.15,"轻松",IF(G5&gt;0.85,"势均力敌",IF(G5&gt;0.6,"吃力","撞墙")))</f>
        <v/>
      </c>
      <c r="I5" s="14">
        <f>1400*B5</f>
        <v/>
      </c>
      <c r="J5" s="14">
        <f>'01_核心常量'!$D$35*'01_核心常量'!$D$36*F5</f>
        <v/>
      </c>
    </row>
    <row r="6">
      <c r="A6" s="7" t="n">
        <v>3</v>
      </c>
      <c r="B6" s="12">
        <f>'01_核心常量'!$D$23^(A6-1)*(1+'01_核心常量'!$D$24*(A6-1))</f>
        <v/>
      </c>
      <c r="C6" s="12">
        <f>'01_核心常量'!$D$28^(A6-1)</f>
        <v/>
      </c>
      <c r="D6" s="12">
        <f>1+'01_核心常量'!$D$27*(A6-1)</f>
        <v/>
      </c>
      <c r="E6" s="12">
        <f>E5+'01_核心常量'!$D$29+0.1*(A6-2)</f>
        <v/>
      </c>
      <c r="F6" s="16">
        <f>F5*(1+'01_核心常量'!$D$33*'01_核心常量'!$D$34^(A6-2))^'01_核心常量'!$D$32</f>
        <v/>
      </c>
      <c r="G6" s="12">
        <f>F6/B6</f>
        <v/>
      </c>
      <c r="H6" s="17">
        <f>IF(G6&gt;1.15,"轻松",IF(G6&gt;0.85,"势均力敌",IF(G6&gt;0.6,"吃力","撞墙")))</f>
        <v/>
      </c>
      <c r="I6" s="14">
        <f>1400*B6</f>
        <v/>
      </c>
      <c r="J6" s="14">
        <f>'01_核心常量'!$D$35*'01_核心常量'!$D$36*F6</f>
        <v/>
      </c>
    </row>
    <row r="7">
      <c r="A7" s="7" t="n">
        <v>4</v>
      </c>
      <c r="B7" s="12">
        <f>'01_核心常量'!$D$23^(A7-1)*(1+'01_核心常量'!$D$24*(A7-1))</f>
        <v/>
      </c>
      <c r="C7" s="12">
        <f>'01_核心常量'!$D$28^(A7-1)</f>
        <v/>
      </c>
      <c r="D7" s="12">
        <f>1+'01_核心常量'!$D$27*(A7-1)</f>
        <v/>
      </c>
      <c r="E7" s="12">
        <f>E6+'01_核心常量'!$D$29+0.1*(A7-2)</f>
        <v/>
      </c>
      <c r="F7" s="16">
        <f>F6*(1+'01_核心常量'!$D$33*'01_核心常量'!$D$34^(A7-2))^'01_核心常量'!$D$32</f>
        <v/>
      </c>
      <c r="G7" s="12">
        <f>F7/B7</f>
        <v/>
      </c>
      <c r="H7" s="17">
        <f>IF(G7&gt;1.15,"轻松",IF(G7&gt;0.85,"势均力敌",IF(G7&gt;0.6,"吃力","撞墙")))</f>
        <v/>
      </c>
      <c r="I7" s="14">
        <f>1400*B7</f>
        <v/>
      </c>
      <c r="J7" s="14">
        <f>'01_核心常量'!$D$35*'01_核心常量'!$D$36*F7</f>
        <v/>
      </c>
    </row>
    <row r="8">
      <c r="A8" s="7" t="n">
        <v>5</v>
      </c>
      <c r="B8" s="12">
        <f>'01_核心常量'!$D$23^(A8-1)*(1+'01_核心常量'!$D$24*(A8-1))</f>
        <v/>
      </c>
      <c r="C8" s="12">
        <f>'01_核心常量'!$D$28^(A8-1)</f>
        <v/>
      </c>
      <c r="D8" s="12">
        <f>1+'01_核心常量'!$D$27*(A8-1)</f>
        <v/>
      </c>
      <c r="E8" s="12">
        <f>E7+'01_核心常量'!$D$29+0.1*(A8-2)</f>
        <v/>
      </c>
      <c r="F8" s="16">
        <f>F7*(1+'01_核心常量'!$D$33*'01_核心常量'!$D$34^(A8-2))^'01_核心常量'!$D$32</f>
        <v/>
      </c>
      <c r="G8" s="12">
        <f>F8/B8</f>
        <v/>
      </c>
      <c r="H8" s="17">
        <f>IF(G8&gt;1.15,"轻松",IF(G8&gt;0.85,"势均力敌",IF(G8&gt;0.6,"吃力","撞墙")))</f>
        <v/>
      </c>
      <c r="I8" s="14">
        <f>1400*B8</f>
        <v/>
      </c>
      <c r="J8" s="14">
        <f>'01_核心常量'!$D$35*'01_核心常量'!$D$36*F8</f>
        <v/>
      </c>
    </row>
    <row r="9">
      <c r="A9" s="7" t="n">
        <v>6</v>
      </c>
      <c r="B9" s="12">
        <f>'01_核心常量'!$D$23^(A9-1)*(1+'01_核心常量'!$D$24*(A9-1))</f>
        <v/>
      </c>
      <c r="C9" s="12">
        <f>'01_核心常量'!$D$28^(A9-1)</f>
        <v/>
      </c>
      <c r="D9" s="12">
        <f>1+'01_核心常量'!$D$27*(A9-1)</f>
        <v/>
      </c>
      <c r="E9" s="12">
        <f>E8+'01_核心常量'!$D$29+0.1*(A9-2)</f>
        <v/>
      </c>
      <c r="F9" s="16">
        <f>F8*(1+'01_核心常量'!$D$33*'01_核心常量'!$D$34^(A9-2))^'01_核心常量'!$D$32</f>
        <v/>
      </c>
      <c r="G9" s="12">
        <f>F9/B9</f>
        <v/>
      </c>
      <c r="H9" s="17">
        <f>IF(G9&gt;1.15,"轻松",IF(G9&gt;0.85,"势均力敌",IF(G9&gt;0.6,"吃力","撞墙")))</f>
        <v/>
      </c>
      <c r="I9" s="14">
        <f>1400*B9</f>
        <v/>
      </c>
      <c r="J9" s="14">
        <f>'01_核心常量'!$D$35*'01_核心常量'!$D$36*F9</f>
        <v/>
      </c>
    </row>
    <row r="10">
      <c r="A10" s="7" t="n">
        <v>7</v>
      </c>
      <c r="B10" s="12">
        <f>'01_核心常量'!$D$23^(A10-1)*(1+'01_核心常量'!$D$24*(A10-1))</f>
        <v/>
      </c>
      <c r="C10" s="12">
        <f>'01_核心常量'!$D$28^(A10-1)</f>
        <v/>
      </c>
      <c r="D10" s="12">
        <f>1+'01_核心常量'!$D$27*(A10-1)</f>
        <v/>
      </c>
      <c r="E10" s="12">
        <f>E9+'01_核心常量'!$D$29+0.1*(A10-2)</f>
        <v/>
      </c>
      <c r="F10" s="16">
        <f>F9*(1+'01_核心常量'!$D$33*'01_核心常量'!$D$34^(A10-2))^'01_核心常量'!$D$32</f>
        <v/>
      </c>
      <c r="G10" s="12">
        <f>F10/B10</f>
        <v/>
      </c>
      <c r="H10" s="17">
        <f>IF(G10&gt;1.15,"轻松",IF(G10&gt;0.85,"势均力敌",IF(G10&gt;0.6,"吃力","撞墙")))</f>
        <v/>
      </c>
      <c r="I10" s="14">
        <f>1400*B10</f>
        <v/>
      </c>
      <c r="J10" s="14">
        <f>'01_核心常量'!$D$35*'01_核心常量'!$D$36*F10</f>
        <v/>
      </c>
    </row>
    <row r="11">
      <c r="A11" s="7" t="n">
        <v>8</v>
      </c>
      <c r="B11" s="12">
        <f>'01_核心常量'!$D$23^(A11-1)*(1+'01_核心常量'!$D$24*(A11-1))</f>
        <v/>
      </c>
      <c r="C11" s="12">
        <f>'01_核心常量'!$D$28^(A11-1)</f>
        <v/>
      </c>
      <c r="D11" s="12">
        <f>1+'01_核心常量'!$D$27*(A11-1)</f>
        <v/>
      </c>
      <c r="E11" s="12">
        <f>E10+'01_核心常量'!$D$29+0.1*(A11-2)</f>
        <v/>
      </c>
      <c r="F11" s="16">
        <f>F10*(1+'01_核心常量'!$D$33*'01_核心常量'!$D$34^(A11-2))^'01_核心常量'!$D$32</f>
        <v/>
      </c>
      <c r="G11" s="12">
        <f>F11/B11</f>
        <v/>
      </c>
      <c r="H11" s="17">
        <f>IF(G11&gt;1.15,"轻松",IF(G11&gt;0.85,"势均力敌",IF(G11&gt;0.6,"吃力","撞墙")))</f>
        <v/>
      </c>
      <c r="I11" s="14">
        <f>1400*B11</f>
        <v/>
      </c>
      <c r="J11" s="14">
        <f>'01_核心常量'!$D$35*'01_核心常量'!$D$36*F11</f>
        <v/>
      </c>
    </row>
    <row r="12">
      <c r="A12" s="7" t="n">
        <v>9</v>
      </c>
      <c r="B12" s="12">
        <f>'01_核心常量'!$D$23^(A12-1)*(1+'01_核心常量'!$D$24*(A12-1))</f>
        <v/>
      </c>
      <c r="C12" s="12">
        <f>'01_核心常量'!$D$28^(A12-1)</f>
        <v/>
      </c>
      <c r="D12" s="12">
        <f>1+'01_核心常量'!$D$27*(A12-1)</f>
        <v/>
      </c>
      <c r="E12" s="12">
        <f>E11+'01_核心常量'!$D$29+0.1*(A12-2)</f>
        <v/>
      </c>
      <c r="F12" s="16">
        <f>F11*(1+'01_核心常量'!$D$33*'01_核心常量'!$D$34^(A12-2))^'01_核心常量'!$D$32</f>
        <v/>
      </c>
      <c r="G12" s="12">
        <f>F12/B12</f>
        <v/>
      </c>
      <c r="H12" s="17">
        <f>IF(G12&gt;1.15,"轻松",IF(G12&gt;0.85,"势均力敌",IF(G12&gt;0.6,"吃力","撞墙")))</f>
        <v/>
      </c>
      <c r="I12" s="14">
        <f>1400*B12</f>
        <v/>
      </c>
      <c r="J12" s="14">
        <f>'01_核心常量'!$D$35*'01_核心常量'!$D$36*F12</f>
        <v/>
      </c>
    </row>
    <row r="13">
      <c r="A13" s="7" t="n">
        <v>10</v>
      </c>
      <c r="B13" s="12">
        <f>'01_核心常量'!$D$23^(A13-1)*(1+'01_核心常量'!$D$24*(A13-1))</f>
        <v/>
      </c>
      <c r="C13" s="12">
        <f>'01_核心常量'!$D$28^(A13-1)</f>
        <v/>
      </c>
      <c r="D13" s="12">
        <f>1+'01_核心常量'!$D$27*(A13-1)</f>
        <v/>
      </c>
      <c r="E13" s="12">
        <f>E12+'01_核心常量'!$D$29+0.1*(A13-2)</f>
        <v/>
      </c>
      <c r="F13" s="16">
        <f>F12*(1+'01_核心常量'!$D$33*'01_核心常量'!$D$34^(A13-2))^'01_核心常量'!$D$32</f>
        <v/>
      </c>
      <c r="G13" s="12">
        <f>F13/B13</f>
        <v/>
      </c>
      <c r="H13" s="17">
        <f>IF(G13&gt;1.15,"轻松",IF(G13&gt;0.85,"势均力敌",IF(G13&gt;0.6,"吃力","撞墙")))</f>
        <v/>
      </c>
      <c r="I13" s="14">
        <f>1400*B13</f>
        <v/>
      </c>
      <c r="J13" s="14">
        <f>'01_核心常量'!$D$35*'01_核心常量'!$D$36*F13</f>
        <v/>
      </c>
    </row>
    <row r="14">
      <c r="A14" s="7" t="n">
        <v>11</v>
      </c>
      <c r="B14" s="12">
        <f>'01_核心常量'!$D$23^(A14-1)*(1+'01_核心常量'!$D$24*(A14-1))</f>
        <v/>
      </c>
      <c r="C14" s="12">
        <f>'01_核心常量'!$D$28^(A14-1)</f>
        <v/>
      </c>
      <c r="D14" s="12">
        <f>1+'01_核心常量'!$D$27*(A14-1)</f>
        <v/>
      </c>
      <c r="E14" s="12">
        <f>E13+'01_核心常量'!$D$29+0.1*(A14-2)</f>
        <v/>
      </c>
      <c r="F14" s="16">
        <f>F13*(1+'01_核心常量'!$D$33*'01_核心常量'!$D$34^(A14-2))^'01_核心常量'!$D$32</f>
        <v/>
      </c>
      <c r="G14" s="12">
        <f>F14/B14</f>
        <v/>
      </c>
      <c r="H14" s="17">
        <f>IF(G14&gt;1.15,"轻松",IF(G14&gt;0.85,"势均力敌",IF(G14&gt;0.6,"吃力","撞墙")))</f>
        <v/>
      </c>
      <c r="I14" s="14">
        <f>1400*B14</f>
        <v/>
      </c>
      <c r="J14" s="14">
        <f>'01_核心常量'!$D$35*'01_核心常量'!$D$36*F14</f>
        <v/>
      </c>
    </row>
    <row r="15">
      <c r="A15" s="7" t="n">
        <v>12</v>
      </c>
      <c r="B15" s="12">
        <f>'01_核心常量'!$D$23^(A15-1)*(1+'01_核心常量'!$D$24*(A15-1))</f>
        <v/>
      </c>
      <c r="C15" s="12">
        <f>'01_核心常量'!$D$28^(A15-1)</f>
        <v/>
      </c>
      <c r="D15" s="12">
        <f>1+'01_核心常量'!$D$27*(A15-1)</f>
        <v/>
      </c>
      <c r="E15" s="12">
        <f>E14+'01_核心常量'!$D$29+0.1*(A15-2)</f>
        <v/>
      </c>
      <c r="F15" s="16">
        <f>F14*(1+'01_核心常量'!$D$33*'01_核心常量'!$D$34^(A15-2))^'01_核心常量'!$D$32</f>
        <v/>
      </c>
      <c r="G15" s="12">
        <f>F15/B15</f>
        <v/>
      </c>
      <c r="H15" s="17">
        <f>IF(G15&gt;1.15,"轻松",IF(G15&gt;0.85,"势均力敌",IF(G15&gt;0.6,"吃力","撞墙")))</f>
        <v/>
      </c>
      <c r="I15" s="14">
        <f>1400*B15</f>
        <v/>
      </c>
      <c r="J15" s="14">
        <f>'01_核心常量'!$D$35*'01_核心常量'!$D$36*F15</f>
        <v/>
      </c>
    </row>
    <row r="16">
      <c r="A16" s="7" t="n">
        <v>13</v>
      </c>
      <c r="B16" s="12">
        <f>'01_核心常量'!$D$23^(A16-1)*(1+'01_核心常量'!$D$24*(A16-1))</f>
        <v/>
      </c>
      <c r="C16" s="12">
        <f>'01_核心常量'!$D$28^(A16-1)</f>
        <v/>
      </c>
      <c r="D16" s="12">
        <f>1+'01_核心常量'!$D$27*(A16-1)</f>
        <v/>
      </c>
      <c r="E16" s="12">
        <f>E15+'01_核心常量'!$D$29+0.1*(A16-2)</f>
        <v/>
      </c>
      <c r="F16" s="16">
        <f>F15*(1+'01_核心常量'!$D$33*'01_核心常量'!$D$34^(A16-2))^'01_核心常量'!$D$32</f>
        <v/>
      </c>
      <c r="G16" s="12">
        <f>F16/B16</f>
        <v/>
      </c>
      <c r="H16" s="17">
        <f>IF(G16&gt;1.15,"轻松",IF(G16&gt;0.85,"势均力敌",IF(G16&gt;0.6,"吃力","撞墙")))</f>
        <v/>
      </c>
      <c r="I16" s="14">
        <f>1400*B16</f>
        <v/>
      </c>
      <c r="J16" s="14">
        <f>'01_核心常量'!$D$35*'01_核心常量'!$D$36*F16</f>
        <v/>
      </c>
    </row>
    <row r="17">
      <c r="A17" s="7" t="n">
        <v>14</v>
      </c>
      <c r="B17" s="12">
        <f>'01_核心常量'!$D$23^(A17-1)*(1+'01_核心常量'!$D$24*(A17-1))</f>
        <v/>
      </c>
      <c r="C17" s="12">
        <f>'01_核心常量'!$D$28^(A17-1)</f>
        <v/>
      </c>
      <c r="D17" s="12">
        <f>1+'01_核心常量'!$D$27*(A17-1)</f>
        <v/>
      </c>
      <c r="E17" s="12">
        <f>E16+'01_核心常量'!$D$29+0.1*(A17-2)</f>
        <v/>
      </c>
      <c r="F17" s="16">
        <f>F16*(1+'01_核心常量'!$D$33*'01_核心常量'!$D$34^(A17-2))^'01_核心常量'!$D$32</f>
        <v/>
      </c>
      <c r="G17" s="12">
        <f>F17/B17</f>
        <v/>
      </c>
      <c r="H17" s="17">
        <f>IF(G17&gt;1.15,"轻松",IF(G17&gt;0.85,"势均力敌",IF(G17&gt;0.6,"吃力","撞墙")))</f>
        <v/>
      </c>
      <c r="I17" s="14">
        <f>1400*B17</f>
        <v/>
      </c>
      <c r="J17" s="14">
        <f>'01_核心常量'!$D$35*'01_核心常量'!$D$36*F17</f>
        <v/>
      </c>
    </row>
    <row r="18">
      <c r="A18" s="7" t="n">
        <v>15</v>
      </c>
      <c r="B18" s="12">
        <f>'01_核心常量'!$D$23^(A18-1)*(1+'01_核心常量'!$D$24*(A18-1))</f>
        <v/>
      </c>
      <c r="C18" s="12">
        <f>'01_核心常量'!$D$28^(A18-1)</f>
        <v/>
      </c>
      <c r="D18" s="12">
        <f>1+'01_核心常量'!$D$27*(A18-1)</f>
        <v/>
      </c>
      <c r="E18" s="12">
        <f>E17+'01_核心常量'!$D$29+0.1*(A18-2)</f>
        <v/>
      </c>
      <c r="F18" s="16">
        <f>F17*(1+'01_核心常量'!$D$33*'01_核心常量'!$D$34^(A18-2))^'01_核心常量'!$D$32</f>
        <v/>
      </c>
      <c r="G18" s="12">
        <f>F18/B18</f>
        <v/>
      </c>
      <c r="H18" s="17">
        <f>IF(G18&gt;1.15,"轻松",IF(G18&gt;0.85,"势均力敌",IF(G18&gt;0.6,"吃力","撞墙")))</f>
        <v/>
      </c>
      <c r="I18" s="14">
        <f>1400*B18</f>
        <v/>
      </c>
      <c r="J18" s="14">
        <f>'01_核心常量'!$D$35*'01_核心常量'!$D$36*F18</f>
        <v/>
      </c>
    </row>
    <row r="20">
      <c r="A20" s="5" t="inlineStr">
        <is>
          <t>【余量比判读】&gt;1.15 轻松 / 0.85–1.15 势均力敌 / 0.6–0.85 吃力 / &lt;0.6 撞墙。</t>
        </is>
      </c>
    </row>
    <row r="21">
      <c r="A21" s="5" t="inlineStr">
        <is>
          <t>★【重要】余量比只是 DPS 上限，是乐观估计。玩家真正的死因不是「打不动」，而是「漏过去的敌人把核心打爆」。必须用下面的漏怪模型判定实际死亡关卡。</t>
        </is>
      </c>
    </row>
    <row r="23">
      <c r="A23" s="2" t="inlineStr">
        <is>
          <t>漏怪预算模型 —— 真实死亡关卡判定</t>
        </is>
      </c>
    </row>
    <row r="24">
      <c r="A24" s="5" t="inlineStr">
        <is>
          <t>逻辑：当 DPS 余量比 &lt; 1 时，缺口比例的敌人会漏过防线；漏怪数 × 敌人伤害 &gt; 核心 HP 即阵亡。</t>
        </is>
      </c>
    </row>
    <row r="25" ht="30" customHeight="1">
      <c r="A25" s="6" t="inlineStr">
        <is>
          <t>关卡 n</t>
        </is>
      </c>
      <c r="B25" s="6" t="inlineStr">
        <is>
          <t>余量比(基准)</t>
        </is>
      </c>
      <c r="C25" s="6" t="inlineStr">
        <is>
          <t>可承受漏怪数</t>
        </is>
      </c>
      <c r="D25" s="6" t="inlineStr">
        <is>
          <t>新手(合成率0.5)</t>
        </is>
      </c>
      <c r="E25" s="6" t="inlineStr">
        <is>
          <t>中等(1.2)</t>
        </is>
      </c>
      <c r="F25" s="6" t="inlineStr">
        <is>
          <t>高手(1.8)</t>
        </is>
      </c>
      <c r="G25" s="6" t="inlineStr">
        <is>
          <t>满养成高手</t>
        </is>
      </c>
    </row>
    <row r="26">
      <c r="A26" s="7" t="n">
        <v>1</v>
      </c>
      <c r="B26" s="12">
        <f>F4</f>
        <v/>
      </c>
      <c r="C26" s="11">
        <f>'01_核心常量'!$D$30/('01_核心常量'!$D$26*'01_核心常量'!$D$28^(A26-1))</f>
        <v/>
      </c>
      <c r="D26" s="17">
        <f>IF('01_核心常量'!$D$25*MAX(0,1-B26*(1-'01_核心常量'!$D$40+'01_核心常量'!$D$40*'01_核心常量'!$D$41/'01_核心常量'!$D$10)*1)&lt;C26,"存活","阵亡")</f>
        <v/>
      </c>
      <c r="E26" s="17">
        <f>IF('01_核心常量'!$D$25*MAX(0,1-B26*1*1)&lt;C26,"存活","阵亡")</f>
        <v/>
      </c>
      <c r="F26" s="17">
        <f>IF('01_核心常量'!$D$25*MAX(0,1-B26*(1-'01_核心常量'!$D$40+'01_核心常量'!$D$40*'01_核心常量'!$D$42/'01_核心常量'!$D$10)*1)&lt;C26,"存活","阵亡")</f>
        <v/>
      </c>
      <c r="G26" s="17">
        <f>IF('01_核心常量'!$D$25*MAX(0,1-B26*(1-'01_核心常量'!$D$40+'01_核心常量'!$D$40*'01_核心常量'!$D$42/'01_核心常量'!$D$10)*1.6)&lt;C26,"存活","阵亡")</f>
        <v/>
      </c>
    </row>
    <row r="27">
      <c r="A27" s="7" t="n">
        <v>2</v>
      </c>
      <c r="B27" s="12">
        <f>F5</f>
        <v/>
      </c>
      <c r="C27" s="11">
        <f>'01_核心常量'!$D$30/('01_核心常量'!$D$26*'01_核心常量'!$D$28^(A27-1))</f>
        <v/>
      </c>
      <c r="D27" s="17">
        <f>IF('01_核心常量'!$D$25*MAX(0,1-B27*(1-'01_核心常量'!$D$40+'01_核心常量'!$D$40*'01_核心常量'!$D$41/'01_核心常量'!$D$10)*1)&lt;C27,"存活","阵亡")</f>
        <v/>
      </c>
      <c r="E27" s="17">
        <f>IF('01_核心常量'!$D$25*MAX(0,1-B27*1*1)&lt;C27,"存活","阵亡")</f>
        <v/>
      </c>
      <c r="F27" s="17">
        <f>IF('01_核心常量'!$D$25*MAX(0,1-B27*(1-'01_核心常量'!$D$40+'01_核心常量'!$D$40*'01_核心常量'!$D$42/'01_核心常量'!$D$10)*1)&lt;C27,"存活","阵亡")</f>
        <v/>
      </c>
      <c r="G27" s="17">
        <f>IF('01_核心常量'!$D$25*MAX(0,1-B27*(1-'01_核心常量'!$D$40+'01_核心常量'!$D$40*'01_核心常量'!$D$42/'01_核心常量'!$D$10)*1.6)&lt;C27,"存活","阵亡")</f>
        <v/>
      </c>
    </row>
    <row r="28">
      <c r="A28" s="7" t="n">
        <v>3</v>
      </c>
      <c r="B28" s="12">
        <f>F6</f>
        <v/>
      </c>
      <c r="C28" s="11">
        <f>'01_核心常量'!$D$30/('01_核心常量'!$D$26*'01_核心常量'!$D$28^(A28-1))</f>
        <v/>
      </c>
      <c r="D28" s="17">
        <f>IF('01_核心常量'!$D$25*MAX(0,1-B28*(1-'01_核心常量'!$D$40+'01_核心常量'!$D$40*'01_核心常量'!$D$41/'01_核心常量'!$D$10)*1)&lt;C28,"存活","阵亡")</f>
        <v/>
      </c>
      <c r="E28" s="17">
        <f>IF('01_核心常量'!$D$25*MAX(0,1-B28*1*1)&lt;C28,"存活","阵亡")</f>
        <v/>
      </c>
      <c r="F28" s="17">
        <f>IF('01_核心常量'!$D$25*MAX(0,1-B28*(1-'01_核心常量'!$D$40+'01_核心常量'!$D$40*'01_核心常量'!$D$42/'01_核心常量'!$D$10)*1)&lt;C28,"存活","阵亡")</f>
        <v/>
      </c>
      <c r="G28" s="17">
        <f>IF('01_核心常量'!$D$25*MAX(0,1-B28*(1-'01_核心常量'!$D$40+'01_核心常量'!$D$40*'01_核心常量'!$D$42/'01_核心常量'!$D$10)*1.6)&lt;C28,"存活","阵亡")</f>
        <v/>
      </c>
    </row>
    <row r="29">
      <c r="A29" s="7" t="n">
        <v>4</v>
      </c>
      <c r="B29" s="12">
        <f>F7</f>
        <v/>
      </c>
      <c r="C29" s="11">
        <f>'01_核心常量'!$D$30/('01_核心常量'!$D$26*'01_核心常量'!$D$28^(A29-1))</f>
        <v/>
      </c>
      <c r="D29" s="17">
        <f>IF('01_核心常量'!$D$25*MAX(0,1-B29*(1-'01_核心常量'!$D$40+'01_核心常量'!$D$40*'01_核心常量'!$D$41/'01_核心常量'!$D$10)*1)&lt;C29,"存活","阵亡")</f>
        <v/>
      </c>
      <c r="E29" s="17">
        <f>IF('01_核心常量'!$D$25*MAX(0,1-B29*1*1)&lt;C29,"存活","阵亡")</f>
        <v/>
      </c>
      <c r="F29" s="17">
        <f>IF('01_核心常量'!$D$25*MAX(0,1-B29*(1-'01_核心常量'!$D$40+'01_核心常量'!$D$40*'01_核心常量'!$D$42/'01_核心常量'!$D$10)*1)&lt;C29,"存活","阵亡")</f>
        <v/>
      </c>
      <c r="G29" s="17">
        <f>IF('01_核心常量'!$D$25*MAX(0,1-B29*(1-'01_核心常量'!$D$40+'01_核心常量'!$D$40*'01_核心常量'!$D$42/'01_核心常量'!$D$10)*1.6)&lt;C29,"存活","阵亡")</f>
        <v/>
      </c>
    </row>
    <row r="30">
      <c r="A30" s="7" t="n">
        <v>5</v>
      </c>
      <c r="B30" s="12">
        <f>F8</f>
        <v/>
      </c>
      <c r="C30" s="11">
        <f>'01_核心常量'!$D$30/('01_核心常量'!$D$26*'01_核心常量'!$D$28^(A30-1))</f>
        <v/>
      </c>
      <c r="D30" s="17">
        <f>IF('01_核心常量'!$D$25*MAX(0,1-B30*(1-'01_核心常量'!$D$40+'01_核心常量'!$D$40*'01_核心常量'!$D$41/'01_核心常量'!$D$10)*1)&lt;C30,"存活","阵亡")</f>
        <v/>
      </c>
      <c r="E30" s="17">
        <f>IF('01_核心常量'!$D$25*MAX(0,1-B30*1*1)&lt;C30,"存活","阵亡")</f>
        <v/>
      </c>
      <c r="F30" s="17">
        <f>IF('01_核心常量'!$D$25*MAX(0,1-B30*(1-'01_核心常量'!$D$40+'01_核心常量'!$D$40*'01_核心常量'!$D$42/'01_核心常量'!$D$10)*1)&lt;C30,"存活","阵亡")</f>
        <v/>
      </c>
      <c r="G30" s="17">
        <f>IF('01_核心常量'!$D$25*MAX(0,1-B30*(1-'01_核心常量'!$D$40+'01_核心常量'!$D$40*'01_核心常量'!$D$42/'01_核心常量'!$D$10)*1.6)&lt;C30,"存活","阵亡")</f>
        <v/>
      </c>
    </row>
    <row r="31">
      <c r="A31" s="7" t="n">
        <v>6</v>
      </c>
      <c r="B31" s="12">
        <f>F9</f>
        <v/>
      </c>
      <c r="C31" s="11">
        <f>'01_核心常量'!$D$30/('01_核心常量'!$D$26*'01_核心常量'!$D$28^(A31-1))</f>
        <v/>
      </c>
      <c r="D31" s="17">
        <f>IF('01_核心常量'!$D$25*MAX(0,1-B31*(1-'01_核心常量'!$D$40+'01_核心常量'!$D$40*'01_核心常量'!$D$41/'01_核心常量'!$D$10)*1)&lt;C31,"存活","阵亡")</f>
        <v/>
      </c>
      <c r="E31" s="17">
        <f>IF('01_核心常量'!$D$25*MAX(0,1-B31*1*1)&lt;C31,"存活","阵亡")</f>
        <v/>
      </c>
      <c r="F31" s="17">
        <f>IF('01_核心常量'!$D$25*MAX(0,1-B31*(1-'01_核心常量'!$D$40+'01_核心常量'!$D$40*'01_核心常量'!$D$42/'01_核心常量'!$D$10)*1)&lt;C31,"存活","阵亡")</f>
        <v/>
      </c>
      <c r="G31" s="17">
        <f>IF('01_核心常量'!$D$25*MAX(0,1-B31*(1-'01_核心常量'!$D$40+'01_核心常量'!$D$40*'01_核心常量'!$D$42/'01_核心常量'!$D$10)*1.6)&lt;C31,"存活","阵亡")</f>
        <v/>
      </c>
    </row>
    <row r="32">
      <c r="A32" s="7" t="n">
        <v>7</v>
      </c>
      <c r="B32" s="12">
        <f>F10</f>
        <v/>
      </c>
      <c r="C32" s="11">
        <f>'01_核心常量'!$D$30/('01_核心常量'!$D$26*'01_核心常量'!$D$28^(A32-1))</f>
        <v/>
      </c>
      <c r="D32" s="17">
        <f>IF('01_核心常量'!$D$25*MAX(0,1-B32*(1-'01_核心常量'!$D$40+'01_核心常量'!$D$40*'01_核心常量'!$D$41/'01_核心常量'!$D$10)*1)&lt;C32,"存活","阵亡")</f>
        <v/>
      </c>
      <c r="E32" s="17">
        <f>IF('01_核心常量'!$D$25*MAX(0,1-B32*1*1)&lt;C32,"存活","阵亡")</f>
        <v/>
      </c>
      <c r="F32" s="17">
        <f>IF('01_核心常量'!$D$25*MAX(0,1-B32*(1-'01_核心常量'!$D$40+'01_核心常量'!$D$40*'01_核心常量'!$D$42/'01_核心常量'!$D$10)*1)&lt;C32,"存活","阵亡")</f>
        <v/>
      </c>
      <c r="G32" s="17">
        <f>IF('01_核心常量'!$D$25*MAX(0,1-B32*(1-'01_核心常量'!$D$40+'01_核心常量'!$D$40*'01_核心常量'!$D$42/'01_核心常量'!$D$10)*1.6)&lt;C32,"存活","阵亡")</f>
        <v/>
      </c>
    </row>
    <row r="33">
      <c r="A33" s="7" t="n">
        <v>8</v>
      </c>
      <c r="B33" s="12">
        <f>F11</f>
        <v/>
      </c>
      <c r="C33" s="11">
        <f>'01_核心常量'!$D$30/('01_核心常量'!$D$26*'01_核心常量'!$D$28^(A33-1))</f>
        <v/>
      </c>
      <c r="D33" s="17">
        <f>IF('01_核心常量'!$D$25*MAX(0,1-B33*(1-'01_核心常量'!$D$40+'01_核心常量'!$D$40*'01_核心常量'!$D$41/'01_核心常量'!$D$10)*1)&lt;C33,"存活","阵亡")</f>
        <v/>
      </c>
      <c r="E33" s="17">
        <f>IF('01_核心常量'!$D$25*MAX(0,1-B33*1*1)&lt;C33,"存活","阵亡")</f>
        <v/>
      </c>
      <c r="F33" s="17">
        <f>IF('01_核心常量'!$D$25*MAX(0,1-B33*(1-'01_核心常量'!$D$40+'01_核心常量'!$D$40*'01_核心常量'!$D$42/'01_核心常量'!$D$10)*1)&lt;C33,"存活","阵亡")</f>
        <v/>
      </c>
      <c r="G33" s="17">
        <f>IF('01_核心常量'!$D$25*MAX(0,1-B33*(1-'01_核心常量'!$D$40+'01_核心常量'!$D$40*'01_核心常量'!$D$42/'01_核心常量'!$D$10)*1.6)&lt;C33,"存活","阵亡")</f>
        <v/>
      </c>
    </row>
    <row r="34">
      <c r="A34" s="7" t="n">
        <v>9</v>
      </c>
      <c r="B34" s="12">
        <f>F12</f>
        <v/>
      </c>
      <c r="C34" s="11">
        <f>'01_核心常量'!$D$30/('01_核心常量'!$D$26*'01_核心常量'!$D$28^(A34-1))</f>
        <v/>
      </c>
      <c r="D34" s="17">
        <f>IF('01_核心常量'!$D$25*MAX(0,1-B34*(1-'01_核心常量'!$D$40+'01_核心常量'!$D$40*'01_核心常量'!$D$41/'01_核心常量'!$D$10)*1)&lt;C34,"存活","阵亡")</f>
        <v/>
      </c>
      <c r="E34" s="17">
        <f>IF('01_核心常量'!$D$25*MAX(0,1-B34*1*1)&lt;C34,"存活","阵亡")</f>
        <v/>
      </c>
      <c r="F34" s="17">
        <f>IF('01_核心常量'!$D$25*MAX(0,1-B34*(1-'01_核心常量'!$D$40+'01_核心常量'!$D$40*'01_核心常量'!$D$42/'01_核心常量'!$D$10)*1)&lt;C34,"存活","阵亡")</f>
        <v/>
      </c>
      <c r="G34" s="17">
        <f>IF('01_核心常量'!$D$25*MAX(0,1-B34*(1-'01_核心常量'!$D$40+'01_核心常量'!$D$40*'01_核心常量'!$D$42/'01_核心常量'!$D$10)*1.6)&lt;C34,"存活","阵亡")</f>
        <v/>
      </c>
    </row>
    <row r="35">
      <c r="A35" s="7" t="n">
        <v>10</v>
      </c>
      <c r="B35" s="12">
        <f>F13</f>
        <v/>
      </c>
      <c r="C35" s="11">
        <f>'01_核心常量'!$D$30/('01_核心常量'!$D$26*'01_核心常量'!$D$28^(A35-1))</f>
        <v/>
      </c>
      <c r="D35" s="17">
        <f>IF('01_核心常量'!$D$25*MAX(0,1-B35*(1-'01_核心常量'!$D$40+'01_核心常量'!$D$40*'01_核心常量'!$D$41/'01_核心常量'!$D$10)*1)&lt;C35,"存活","阵亡")</f>
        <v/>
      </c>
      <c r="E35" s="17">
        <f>IF('01_核心常量'!$D$25*MAX(0,1-B35*1*1)&lt;C35,"存活","阵亡")</f>
        <v/>
      </c>
      <c r="F35" s="17">
        <f>IF('01_核心常量'!$D$25*MAX(0,1-B35*(1-'01_核心常量'!$D$40+'01_核心常量'!$D$40*'01_核心常量'!$D$42/'01_核心常量'!$D$10)*1)&lt;C35,"存活","阵亡")</f>
        <v/>
      </c>
      <c r="G35" s="17">
        <f>IF('01_核心常量'!$D$25*MAX(0,1-B35*(1-'01_核心常量'!$D$40+'01_核心常量'!$D$40*'01_核心常量'!$D$42/'01_核心常量'!$D$10)*1.6)&lt;C35,"存活","阵亡")</f>
        <v/>
      </c>
    </row>
    <row r="36">
      <c r="A36" s="7" t="n">
        <v>11</v>
      </c>
      <c r="B36" s="12">
        <f>F14</f>
        <v/>
      </c>
      <c r="C36" s="11">
        <f>'01_核心常量'!$D$30/('01_核心常量'!$D$26*'01_核心常量'!$D$28^(A36-1))</f>
        <v/>
      </c>
      <c r="D36" s="17">
        <f>IF('01_核心常量'!$D$25*MAX(0,1-B36*(1-'01_核心常量'!$D$40+'01_核心常量'!$D$40*'01_核心常量'!$D$41/'01_核心常量'!$D$10)*1)&lt;C36,"存活","阵亡")</f>
        <v/>
      </c>
      <c r="E36" s="17">
        <f>IF('01_核心常量'!$D$25*MAX(0,1-B36*1*1)&lt;C36,"存活","阵亡")</f>
        <v/>
      </c>
      <c r="F36" s="17">
        <f>IF('01_核心常量'!$D$25*MAX(0,1-B36*(1-'01_核心常量'!$D$40+'01_核心常量'!$D$40*'01_核心常量'!$D$42/'01_核心常量'!$D$10)*1)&lt;C36,"存活","阵亡")</f>
        <v/>
      </c>
      <c r="G36" s="17">
        <f>IF('01_核心常量'!$D$25*MAX(0,1-B36*(1-'01_核心常量'!$D$40+'01_核心常量'!$D$40*'01_核心常量'!$D$42/'01_核心常量'!$D$10)*1.6)&lt;C36,"存活","阵亡")</f>
        <v/>
      </c>
    </row>
    <row r="38">
      <c r="A38" s="5" t="inlineStr">
        <is>
          <t>【模型输出（当前配置 HP_BASE=1.55）】新手 3 关 / 中等 6 关 / 高手 7 关 / 满养成高手 9 关。这是设计目标曲线，与「平均到达 4–6 关」的埋点目标自洽。</t>
        </is>
      </c>
    </row>
    <row r="39">
      <c r="A39" s="5" t="inlineStr">
        <is>
          <t>【技术水平权重】附魔占输出 45%（ENCH_SHARE）。新手合成率 0.5 → 技术系数 0.74；高手 1.8 → 1.23。这意味着技术差距约 1.65 倍战力，是健康的技巧回报。</t>
        </is>
      </c>
    </row>
    <row r="40">
      <c r="A40" s="5" t="inlineStr">
        <is>
          <t>【调参方向】若新手在 3 关就阵亡导致挫败：降低 HP_BASE 至 1.50，或提高第 1–2 关的波次时长给更多缓冲。若中等玩家超过 7 关：升高 HP_BASE 至 1.60。</t>
        </is>
      </c>
    </row>
    <row r="42">
      <c r="A42" s="2" t="inlineStr">
        <is>
          <t>敌人基准（第 1 关）</t>
        </is>
      </c>
    </row>
    <row r="43" ht="30" customHeight="1">
      <c r="A43" s="6" t="inlineStr">
        <is>
          <t>类型</t>
        </is>
      </c>
      <c r="B43" s="6" t="inlineStr">
        <is>
          <t>HP</t>
        </is>
      </c>
      <c r="C43" s="6" t="inlineStr">
        <is>
          <t>速度(格/秒)</t>
        </is>
      </c>
      <c r="D43" s="6" t="inlineStr">
        <is>
          <t>撞核心伤害</t>
        </is>
      </c>
      <c r="E43" s="6" t="inlineStr">
        <is>
          <t>护甲</t>
        </is>
      </c>
      <c r="F43" s="6" t="inlineStr">
        <is>
          <t>掉落材料</t>
        </is>
      </c>
      <c r="G43" s="6" t="inlineStr">
        <is>
          <t>设计目的</t>
        </is>
      </c>
    </row>
    <row r="44">
      <c r="A44" s="7" t="inlineStr">
        <is>
          <t>小兵 Grunt</t>
        </is>
      </c>
      <c r="B44" s="7" t="n">
        <v>40</v>
      </c>
      <c r="C44" s="7" t="n">
        <v>0.35</v>
      </c>
      <c r="D44" s="7" t="n">
        <v>5</v>
      </c>
      <c r="E44" s="7" t="n">
        <v>0</v>
      </c>
      <c r="F44" s="7" t="n">
        <v>0</v>
      </c>
      <c r="G44" s="9" t="inlineStr">
        <is>
          <t>基准单位，定义 DPS 需求底线。</t>
        </is>
      </c>
    </row>
    <row r="45">
      <c r="A45" s="7" t="inlineStr">
        <is>
          <t>群聚 Swarm</t>
        </is>
      </c>
      <c r="B45" s="7" t="n">
        <v>12</v>
      </c>
      <c r="C45" s="7" t="n">
        <v>0.5</v>
      </c>
      <c r="D45" s="7" t="n">
        <v>2</v>
      </c>
      <c r="E45" s="7" t="n">
        <v>0</v>
      </c>
      <c r="F45" s="7" t="n">
        <v>0</v>
      </c>
      <c r="G45" s="9" t="inlineStr">
        <is>
          <t>惩罚单体流，奖励火元素与溅射。</t>
        </is>
      </c>
    </row>
    <row r="46">
      <c r="A46" s="7" t="inlineStr">
        <is>
          <t>迅捷 Swift</t>
        </is>
      </c>
      <c r="B46" s="7" t="n">
        <v>22</v>
      </c>
      <c r="C46" s="7" t="n">
        <v>0.75</v>
      </c>
      <c r="D46" s="7" t="n">
        <v>3</v>
      </c>
      <c r="E46" s="7" t="n">
        <v>0</v>
      </c>
      <c r="F46" s="7" t="n">
        <v>0</v>
      </c>
      <c r="G46" s="9" t="inlineStr">
        <is>
          <t>惩罚合成太慢，是时间压力的主要载体。</t>
        </is>
      </c>
    </row>
    <row r="47">
      <c r="A47" s="7" t="inlineStr">
        <is>
          <t>重甲 Armor</t>
        </is>
      </c>
      <c r="B47" s="7" t="n">
        <v>140</v>
      </c>
      <c r="C47" s="7" t="n">
        <v>0.22</v>
      </c>
      <c r="D47" s="7" t="n">
        <v>12</v>
      </c>
      <c r="E47" s="7" t="n">
        <v>0.3</v>
      </c>
      <c r="F47" s="7" t="n">
        <v>0</v>
      </c>
      <c r="G47" s="9" t="inlineStr">
        <is>
          <t>惩罚穿透/破甲不足，奖励雷元素。</t>
        </is>
      </c>
    </row>
    <row r="48">
      <c r="A48" s="7" t="inlineStr">
        <is>
          <t>破坏者 Breaker</t>
        </is>
      </c>
      <c r="B48" s="7" t="n">
        <v>200</v>
      </c>
      <c r="C48" s="7" t="n">
        <v>0.3</v>
      </c>
      <c r="D48" s="7" t="n">
        <v>15</v>
      </c>
      <c r="E48" s="7" t="n">
        <v>0.1</v>
      </c>
      <c r="F48" s="7" t="n">
        <v>0</v>
      </c>
      <c r="G48" s="9" t="inlineStr">
        <is>
          <t>攻击并摧毁植物格，惩罚固守不动的编队。</t>
        </is>
      </c>
    </row>
    <row r="49">
      <c r="A49" s="7" t="inlineStr">
        <is>
          <t>精英 Elite</t>
        </is>
      </c>
      <c r="B49" s="7" t="n">
        <v>400</v>
      </c>
      <c r="C49" s="7" t="n">
        <v>0.28</v>
      </c>
      <c r="D49" s="7" t="n">
        <v>25</v>
      </c>
      <c r="E49" s="7" t="n">
        <v>0.15</v>
      </c>
      <c r="F49" s="7" t="inlineStr">
        <is>
          <t>1–2</t>
        </is>
      </c>
      <c r="G49" s="9" t="inlineStr">
        <is>
          <t>携带元素护盾，检验玩家的轮盘编排。</t>
        </is>
      </c>
    </row>
    <row r="50">
      <c r="A50" s="7" t="inlineStr">
        <is>
          <t>Boss</t>
        </is>
      </c>
      <c r="B50" s="7" t="n">
        <v>1200</v>
      </c>
      <c r="C50" s="7" t="n">
        <v>0.2</v>
      </c>
      <c r="D50" s="7" t="n">
        <v>40</v>
      </c>
      <c r="E50" s="7" t="n">
        <v>0.2</v>
      </c>
      <c r="F50" s="7" t="inlineStr">
        <is>
          <t>3–5</t>
        </is>
      </c>
      <c r="G50" s="9" t="inlineStr">
        <is>
          <t>双元素护盾，关卡高潮。</t>
        </is>
      </c>
    </row>
    <row r="52">
      <c r="A52" s="2" t="inlineStr">
        <is>
          <t>波次组成（第 1 关）</t>
        </is>
      </c>
    </row>
    <row r="53" ht="30" customHeight="1">
      <c r="A53" s="6" t="inlineStr">
        <is>
          <t>波</t>
        </is>
      </c>
      <c r="B53" s="6" t="inlineStr">
        <is>
          <t>组成</t>
        </is>
      </c>
      <c r="C53" s="6" t="inlineStr">
        <is>
          <t>时长(秒)</t>
        </is>
      </c>
      <c r="D53" s="6" t="inlineStr">
        <is>
          <t>敌人总HP</t>
        </is>
      </c>
      <c r="E53" s="6" t="inlineStr">
        <is>
          <t>设计意图</t>
        </is>
      </c>
    </row>
    <row r="54">
      <c r="A54" s="7" t="n">
        <v>1</v>
      </c>
      <c r="B54" s="7" t="inlineStr">
        <is>
          <t>6 小兵</t>
        </is>
      </c>
      <c r="C54" s="7" t="n">
        <v>30</v>
      </c>
      <c r="D54" s="7" t="n">
        <v>240</v>
      </c>
      <c r="E54" s="9" t="inlineStr">
        <is>
          <t>教学波。不可能失败。</t>
        </is>
      </c>
    </row>
    <row r="55">
      <c r="A55" s="7" t="n">
        <v>2</v>
      </c>
      <c r="B55" s="7" t="inlineStr">
        <is>
          <t>4 小兵 + 4 群聚</t>
        </is>
      </c>
      <c r="C55" s="7" t="n">
        <v>35</v>
      </c>
      <c r="D55" s="7" t="n">
        <v>208</v>
      </c>
      <c r="E55" s="9" t="inlineStr">
        <is>
          <t>引入群体压力，让玩家理解火/溅射的价值。</t>
        </is>
      </c>
    </row>
    <row r="56">
      <c r="A56" s="7" t="n">
        <v>3</v>
      </c>
      <c r="B56" s="7" t="inlineStr">
        <is>
          <t>2 重甲 + 6 小兵</t>
        </is>
      </c>
      <c r="C56" s="7" t="n">
        <v>45</v>
      </c>
      <c r="D56" s="7" t="n">
        <v>520</v>
      </c>
      <c r="E56" s="9" t="inlineStr">
        <is>
          <t>引入护甲，制造第一次「打不动」的挫败。</t>
        </is>
      </c>
    </row>
    <row r="57">
      <c r="A57" s="7" t="n">
        <v>4</v>
      </c>
      <c r="B57" s="7" t="inlineStr">
        <is>
          <t>6 迅捷 + 2 重甲</t>
        </is>
      </c>
      <c r="C57" s="7" t="n">
        <v>45</v>
      </c>
      <c r="D57" s="7" t="n">
        <v>412</v>
      </c>
      <c r="E57" s="9" t="inlineStr">
        <is>
          <t>引入时间压力，逼玩家加快合成。</t>
        </is>
      </c>
    </row>
    <row r="58">
      <c r="A58" s="7" t="n">
        <v>5</v>
      </c>
      <c r="B58" s="7" t="inlineStr">
        <is>
          <t>1 精英(火盾) + 8 小兵 + 4 群聚</t>
        </is>
      </c>
      <c r="C58" s="7" t="n">
        <v>60</v>
      </c>
      <c r="D58" s="7" t="n">
        <v>768</v>
      </c>
      <c r="E58" s="9" t="inlineStr">
        <is>
          <t>Boss 波。首次检验轮盘编排是否针对护盾。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46" customWidth="1" min="4" max="4"/>
    <col width="11" customWidth="1" min="5" max="5"/>
    <col width="11" customWidth="1" min="6" max="6"/>
    <col width="46" customWidth="1" min="7" max="7"/>
  </cols>
  <sheetData>
    <row r="1">
      <c r="A1" s="1" t="inlineStr">
        <is>
          <t>植物数值与成长模型</t>
        </is>
      </c>
    </row>
    <row r="2">
      <c r="A2" s="5" t="inlineStr">
        <is>
          <t>成长公式：DPS = 基础 × (1 + 每星DPS加成×(星级−1)) × (1 + 每级DPS加成×(等级−1)) × 养成树枝叶加成</t>
        </is>
      </c>
    </row>
    <row r="3" ht="30" customHeight="1">
      <c r="A3" s="6" t="inlineStr">
        <is>
          <t>植物</t>
        </is>
      </c>
      <c r="B3" s="6" t="inlineStr">
        <is>
          <t>元素</t>
        </is>
      </c>
      <c r="C3" s="6" t="inlineStr">
        <is>
          <t>攻击形态</t>
        </is>
      </c>
      <c r="D3" s="6" t="inlineStr">
        <is>
          <t>基础DPS</t>
        </is>
      </c>
      <c r="E3" s="6" t="inlineStr">
        <is>
          <t>射程(格)</t>
        </is>
      </c>
      <c r="F3" s="6" t="inlineStr">
        <is>
          <t>特性</t>
        </is>
      </c>
      <c r="G3" s="6" t="inlineStr">
        <is>
          <t>大招(4核心/25s)</t>
        </is>
      </c>
    </row>
    <row r="4">
      <c r="A4" s="7" t="inlineStr">
        <is>
          <t>焰心草</t>
        </is>
      </c>
      <c r="B4" s="7" t="inlineStr">
        <is>
          <t>火</t>
        </is>
      </c>
      <c r="C4" s="7" t="inlineStr">
        <is>
          <t>直射单体</t>
        </is>
      </c>
      <c r="D4" s="7" t="n">
        <v>12</v>
      </c>
      <c r="E4" s="7" t="n">
        <v>3</v>
      </c>
      <c r="F4" s="9" t="inlineStr">
        <is>
          <t>命中附加灼烧：3 秒内每秒 3 伤害</t>
        </is>
      </c>
      <c r="G4" s="9" t="inlineStr">
        <is>
          <t>全场灼烧 8s，每秒 EP×0.15</t>
        </is>
      </c>
    </row>
    <row r="5">
      <c r="A5" s="7" t="inlineStr">
        <is>
          <t>潮汐藤</t>
        </is>
      </c>
      <c r="B5" s="7" t="inlineStr">
        <is>
          <t>水</t>
        </is>
      </c>
      <c r="C5" s="7" t="inlineStr">
        <is>
          <t>环形 AoE</t>
        </is>
      </c>
      <c r="D5" s="7" t="n">
        <v>7</v>
      </c>
      <c r="E5" s="7" t="n">
        <v>1.5</v>
      </c>
      <c r="F5" s="9" t="inlineStr">
        <is>
          <t>范围内敌人 −20% 移速（持续）</t>
        </is>
      </c>
      <c r="G5" s="9" t="inlineStr">
        <is>
          <t>全体击退 2 格 + 减速 50%（4s）</t>
        </is>
      </c>
    </row>
    <row r="6">
      <c r="A6" s="7" t="inlineStr">
        <is>
          <t>荆棘木</t>
        </is>
      </c>
      <c r="B6" s="7" t="inlineStr">
        <is>
          <t>木</t>
        </is>
      </c>
      <c r="C6" s="7" t="inlineStr">
        <is>
          <t>穿透直线</t>
        </is>
      </c>
      <c r="D6" s="7" t="n">
        <v>11</v>
      </c>
      <c r="E6" s="7" t="inlineStr">
        <is>
          <t>无限</t>
        </is>
      </c>
      <c r="F6" s="9" t="inlineStr">
        <is>
          <t>无视前排阻挡，贯穿本行</t>
        </is>
      </c>
      <c r="G6" s="9" t="inlineStr">
        <is>
          <t>贯穿全屏光束，EP×3.0</t>
        </is>
      </c>
    </row>
    <row r="7">
      <c r="A7" s="7" t="inlineStr">
        <is>
          <t>辉光苔</t>
        </is>
      </c>
      <c r="B7" s="7" t="inlineStr">
        <is>
          <t>光</t>
        </is>
      </c>
      <c r="C7" s="7" t="inlineStr">
        <is>
          <t>辅助(无攻击)</t>
        </is>
      </c>
      <c r="D7" s="7" t="n">
        <v>0</v>
      </c>
      <c r="E7" s="7" t="inlineStr">
        <is>
          <t>—</t>
        </is>
      </c>
      <c r="F7" s="9" t="inlineStr">
        <is>
          <t>每 10s：+1 步 或 +8 充能（玩家预设）</t>
        </is>
      </c>
      <c r="G7" s="9" t="inlineStr">
        <is>
          <t>立即 +4 步 +60 充能，全植物攻速 +50%（6s）</t>
        </is>
      </c>
    </row>
    <row r="8">
      <c r="A8" s="7" t="inlineStr">
        <is>
          <t>雷鸣花</t>
        </is>
      </c>
      <c r="B8" s="7" t="inlineStr">
        <is>
          <t>雷</t>
        </is>
      </c>
      <c r="C8" s="7" t="inlineStr">
        <is>
          <t>溅射</t>
        </is>
      </c>
      <c r="D8" s="7" t="n">
        <v>10</v>
      </c>
      <c r="E8" s="7" t="n">
        <v>2.5</v>
      </c>
      <c r="F8" s="9" t="inlineStr">
        <is>
          <t>命中溅射周围 50% 伤害</t>
        </is>
      </c>
      <c r="G8" s="9" t="inlineStr">
        <is>
          <t>15 次随机落雷，每次 EP×0.4</t>
        </is>
      </c>
    </row>
    <row r="9">
      <c r="A9" s="7" t="inlineStr">
        <is>
          <t>霜晶莲</t>
        </is>
      </c>
      <c r="B9" s="7" t="inlineStr">
        <is>
          <t>冰</t>
        </is>
      </c>
      <c r="C9" s="7" t="inlineStr">
        <is>
          <t>直射单体</t>
        </is>
      </c>
      <c r="D9" s="7" t="n">
        <v>8</v>
      </c>
      <c r="E9" s="7" t="n">
        <v>3</v>
      </c>
      <c r="F9" s="9" t="inlineStr">
        <is>
          <t>命中减速 30%（2s）</t>
        </is>
      </c>
      <c r="G9" s="9" t="inlineStr">
        <is>
          <t>全场冻结 4s，冻结期间受伤 +25%</t>
        </is>
      </c>
    </row>
    <row r="11">
      <c r="A11" s="2" t="inlineStr">
        <is>
          <t>星级 / 等级成长曲线（以荆棘木 基础DPS=11 为例）</t>
        </is>
      </c>
    </row>
    <row r="12" ht="30" customHeight="1">
      <c r="A12" s="6" t="inlineStr">
        <is>
          <t>等级\星级</t>
        </is>
      </c>
      <c r="B12" s="6" t="inlineStr">
        <is>
          <t>1★</t>
        </is>
      </c>
      <c r="C12" s="6" t="inlineStr">
        <is>
          <t>2★</t>
        </is>
      </c>
      <c r="D12" s="6" t="inlineStr">
        <is>
          <t>3★</t>
        </is>
      </c>
      <c r="E12" s="6" t="inlineStr">
        <is>
          <t>4★</t>
        </is>
      </c>
      <c r="F12" s="6" t="inlineStr">
        <is>
          <t>5★</t>
        </is>
      </c>
    </row>
    <row r="13">
      <c r="A13" s="7" t="inlineStr">
        <is>
          <t>Lv.1</t>
        </is>
      </c>
      <c r="B13" s="11">
        <f>11*(1+'01_核心常量'!$D$37*(1-1))*(1+'01_核心常量'!$D$38*(1-1))</f>
        <v/>
      </c>
      <c r="C13" s="11">
        <f>11*(1+'01_核心常量'!$D$37*(2-1))*(1+'01_核心常量'!$D$38*(1-1))</f>
        <v/>
      </c>
      <c r="D13" s="11">
        <f>11*(1+'01_核心常量'!$D$37*(3-1))*(1+'01_核心常量'!$D$38*(1-1))</f>
        <v/>
      </c>
      <c r="E13" s="11">
        <f>11*(1+'01_核心常量'!$D$37*(4-1))*(1+'01_核心常量'!$D$38*(1-1))</f>
        <v/>
      </c>
      <c r="F13" s="11">
        <f>11*(1+'01_核心常量'!$D$37*(5-1))*(1+'01_核心常量'!$D$38*(1-1))</f>
        <v/>
      </c>
    </row>
    <row r="14">
      <c r="A14" s="7" t="inlineStr">
        <is>
          <t>Lv.10</t>
        </is>
      </c>
      <c r="B14" s="11">
        <f>11*(1+'01_核心常量'!$D$37*(1-1))*(1+'01_核心常量'!$D$38*(10-1))</f>
        <v/>
      </c>
      <c r="C14" s="11">
        <f>11*(1+'01_核心常量'!$D$37*(2-1))*(1+'01_核心常量'!$D$38*(10-1))</f>
        <v/>
      </c>
      <c r="D14" s="11">
        <f>11*(1+'01_核心常量'!$D$37*(3-1))*(1+'01_核心常量'!$D$38*(10-1))</f>
        <v/>
      </c>
      <c r="E14" s="11">
        <f>11*(1+'01_核心常量'!$D$37*(4-1))*(1+'01_核心常量'!$D$38*(10-1))</f>
        <v/>
      </c>
      <c r="F14" s="11">
        <f>11*(1+'01_核心常量'!$D$37*(5-1))*(1+'01_核心常量'!$D$38*(10-1))</f>
        <v/>
      </c>
    </row>
    <row r="15">
      <c r="A15" s="7" t="inlineStr">
        <is>
          <t>Lv.20</t>
        </is>
      </c>
      <c r="B15" s="11">
        <f>11*(1+'01_核心常量'!$D$37*(1-1))*(1+'01_核心常量'!$D$38*(20-1))</f>
        <v/>
      </c>
      <c r="C15" s="11">
        <f>11*(1+'01_核心常量'!$D$37*(2-1))*(1+'01_核心常量'!$D$38*(20-1))</f>
        <v/>
      </c>
      <c r="D15" s="11">
        <f>11*(1+'01_核心常量'!$D$37*(3-1))*(1+'01_核心常量'!$D$38*(20-1))</f>
        <v/>
      </c>
      <c r="E15" s="11">
        <f>11*(1+'01_核心常量'!$D$37*(4-1))*(1+'01_核心常量'!$D$38*(20-1))</f>
        <v/>
      </c>
      <c r="F15" s="11">
        <f>11*(1+'01_核心常量'!$D$37*(5-1))*(1+'01_核心常量'!$D$38*(20-1))</f>
        <v/>
      </c>
    </row>
    <row r="16">
      <c r="A16" s="7" t="inlineStr">
        <is>
          <t>Lv.30</t>
        </is>
      </c>
      <c r="B16" s="11">
        <f>11*(1+'01_核心常量'!$D$37*(1-1))*(1+'01_核心常量'!$D$38*(30-1))</f>
        <v/>
      </c>
      <c r="C16" s="11">
        <f>11*(1+'01_核心常量'!$D$37*(2-1))*(1+'01_核心常量'!$D$38*(30-1))</f>
        <v/>
      </c>
      <c r="D16" s="11">
        <f>11*(1+'01_核心常量'!$D$37*(3-1))*(1+'01_核心常量'!$D$38*(30-1))</f>
        <v/>
      </c>
      <c r="E16" s="11">
        <f>11*(1+'01_核心常量'!$D$37*(4-1))*(1+'01_核心常量'!$D$38*(30-1))</f>
        <v/>
      </c>
      <c r="F16" s="11">
        <f>11*(1+'01_核心常量'!$D$37*(5-1))*(1+'01_核心常量'!$D$38*(30-1))</f>
        <v/>
      </c>
    </row>
    <row r="17">
      <c r="A17" s="7" t="inlineStr">
        <is>
          <t>Lv.40</t>
        </is>
      </c>
      <c r="B17" s="11">
        <f>11*(1+'01_核心常量'!$D$37*(1-1))*(1+'01_核心常量'!$D$38*(40-1))</f>
        <v/>
      </c>
      <c r="C17" s="11">
        <f>11*(1+'01_核心常量'!$D$37*(2-1))*(1+'01_核心常量'!$D$38*(40-1))</f>
        <v/>
      </c>
      <c r="D17" s="11">
        <f>11*(1+'01_核心常量'!$D$37*(3-1))*(1+'01_核心常量'!$D$38*(40-1))</f>
        <v/>
      </c>
      <c r="E17" s="11">
        <f>11*(1+'01_核心常量'!$D$37*(4-1))*(1+'01_核心常量'!$D$38*(40-1))</f>
        <v/>
      </c>
      <c r="F17" s="11">
        <f>11*(1+'01_核心常量'!$D$37*(5-1))*(1+'01_核心常量'!$D$38*(40-1))</f>
        <v/>
      </c>
    </row>
    <row r="18">
      <c r="A18" s="7" t="inlineStr">
        <is>
          <t>Lv.50</t>
        </is>
      </c>
      <c r="B18" s="11">
        <f>11*(1+'01_核心常量'!$D$37*(1-1))*(1+'01_核心常量'!$D$38*(50-1))</f>
        <v/>
      </c>
      <c r="C18" s="11">
        <f>11*(1+'01_核心常量'!$D$37*(2-1))*(1+'01_核心常量'!$D$38*(50-1))</f>
        <v/>
      </c>
      <c r="D18" s="11">
        <f>11*(1+'01_核心常量'!$D$37*(3-1))*(1+'01_核心常量'!$D$38*(50-1))</f>
        <v/>
      </c>
      <c r="E18" s="11">
        <f>11*(1+'01_核心常量'!$D$37*(4-1))*(1+'01_核心常量'!$D$38*(50-1))</f>
        <v/>
      </c>
      <c r="F18" s="11">
        <f>11*(1+'01_核心常量'!$D$37*(5-1))*(1+'01_核心常量'!$D$38*(50-1))</f>
        <v/>
      </c>
    </row>
    <row r="20">
      <c r="A20" s="5" t="inlineStr">
        <is>
          <t>【设计校验】Lv.50 / 5★ 的荆棘木 = 11 × 1.8 × 1.98 = 39.2 DPS，是初始值的 3.56 倍。配合编队位扩展至 6（伙伴位 50% 效率 → ×1.5），植物侧满养成合计约 5.3 倍。</t>
        </is>
      </c>
    </row>
    <row r="21">
      <c r="A21" s="5" t="inlineStr">
        <is>
          <t>★★【平衡红线 · 最重要的一个】养成 vs 局内卡牌的战力占比，建议 60 : 40。</t>
        </is>
      </c>
    </row>
    <row r="22">
      <c r="A22" s="5" t="inlineStr">
        <is>
          <t xml:space="preserve">   · 若养成占比过高（&gt;75%）：肉鸽三选一沦为过场，局内构筑失去意义，游戏退化成纯数值养成。</t>
        </is>
      </c>
    </row>
    <row r="23">
      <c r="A23" s="5" t="inlineStr">
        <is>
          <t xml:space="preserve">   · 若养成占比过低（&lt;40%）：H5 产品失去留存与付费主驱动，长期 LTV 崩塌。</t>
        </is>
      </c>
    </row>
    <row r="24">
      <c r="A24" s="5" t="inlineStr">
        <is>
          <t xml:space="preserve">   · 60:40 的依据：养成是 H5 商业化的主体，但局内卡牌必须保留「每局体验不同」的价值 —— 它的意义在多样性而非数值量级。</t>
        </is>
      </c>
    </row>
    <row r="25">
      <c r="A25" s="5" t="inlineStr">
        <is>
          <t xml:space="preserve">   · 监控方式：分别统计「满养成 + 零卡牌」与「零养成 + 满卡牌」两种极端配置下的可达关卡，二者之比应落在 1.3 – 1.8 之间。</t>
        </is>
      </c>
    </row>
    <row r="27">
      <c r="A27" s="2" t="inlineStr">
        <is>
          <t>六元素效果表（EP = 附魔强度）</t>
        </is>
      </c>
    </row>
    <row r="28" ht="30" customHeight="1">
      <c r="A28" s="6" t="inlineStr">
        <is>
          <t>元素</t>
        </is>
      </c>
      <c r="B28" s="6" t="inlineStr">
        <is>
          <t>定位</t>
        </is>
      </c>
      <c r="C28" s="6" t="inlineStr">
        <is>
          <t>效果（0★ / EP=60）</t>
        </is>
      </c>
      <c r="D28" s="6" t="inlineStr">
        <is>
          <t>设计意图</t>
        </is>
      </c>
    </row>
    <row r="29">
      <c r="A29" s="7" t="inlineStr">
        <is>
          <t>火</t>
        </is>
      </c>
      <c r="B29" s="7" t="inlineStr">
        <is>
          <t>群体爆发</t>
        </is>
      </c>
      <c r="C29" s="9" t="inlineStr">
        <is>
          <t>全场敌人立即受到 EP×1.0 伤害；已灼烧目标 +30%</t>
        </is>
      </c>
      <c r="D29" s="9" t="inlineStr">
        <is>
          <t>清群首选，最直观的爽感来源。</t>
        </is>
      </c>
    </row>
    <row r="30">
      <c r="A30" s="7" t="inlineStr">
        <is>
          <t>雷</t>
        </is>
      </c>
      <c r="B30" s="7" t="inlineStr">
        <is>
          <t>单体爆发</t>
        </is>
      </c>
      <c r="C30" s="9" t="inlineStr">
        <is>
          <t>连锁闪电弹跳 5 次，每次 EP×0.5，优先最前排</t>
        </is>
      </c>
      <c r="D30" s="9" t="inlineStr">
        <is>
          <t>打 Boss / 重甲。与火形成群-单分工。</t>
        </is>
      </c>
    </row>
    <row r="31">
      <c r="A31" s="7" t="inlineStr">
        <is>
          <t>冰</t>
        </is>
      </c>
      <c r="B31" s="7" t="inlineStr">
        <is>
          <t>控制+增伤</t>
        </is>
      </c>
      <c r="C31" s="9" t="inlineStr">
        <is>
          <t>全场定身 3s，冻结目标受伤 +25%</t>
        </is>
      </c>
      <c r="D31" s="9" t="inlineStr">
        <is>
          <t>救场技，为爆发铺路。进攻向。</t>
        </is>
      </c>
    </row>
    <row r="32">
      <c r="A32" s="7" t="inlineStr">
        <is>
          <t>水</t>
        </is>
      </c>
      <c r="B32" s="7" t="inlineStr">
        <is>
          <t>持续减速</t>
        </is>
      </c>
      <c r="C32" s="9" t="inlineStr">
        <is>
          <t>移速 −40%，持续 5s，造成伤害 −20%</t>
        </is>
      </c>
      <c r="D32" s="9" t="inlineStr">
        <is>
          <t>拖时间，给棋盘争取步数。防守向。</t>
        </is>
      </c>
    </row>
    <row r="33">
      <c r="A33" s="7" t="inlineStr">
        <is>
          <t>木</t>
        </is>
      </c>
      <c r="B33" s="7" t="inlineStr">
        <is>
          <t>己方增益</t>
        </is>
      </c>
      <c r="C33" s="9" t="inlineStr">
        <is>
          <t>植物攻速 +35%，持续 8s；核心回复 EP×0.2</t>
        </is>
      </c>
      <c r="D33" s="9" t="inlineStr">
        <is>
          <t>长线收益，配合高 DPS 编队才有价值。</t>
        </is>
      </c>
    </row>
    <row r="34">
      <c r="A34" s="7" t="inlineStr">
        <is>
          <t>光</t>
        </is>
      </c>
      <c r="B34" s="7" t="inlineStr">
        <is>
          <t>资源调度</t>
        </is>
      </c>
      <c r="C34" s="9" t="inlineStr">
        <is>
          <t>清除棋盘所有 ≤4 方块；+2 步；植物伤害 +25%（8s）</t>
        </is>
      </c>
      <c r="D34" s="9" t="inlineStr">
        <is>
          <t>唯一直接强化棋盘的元素，是解卡保底。</t>
        </is>
      </c>
    </row>
    <row r="36">
      <c r="A36" s="2" t="inlineStr">
        <is>
          <t>元素护盾（让轮盘编排有外部约束）</t>
        </is>
      </c>
    </row>
    <row r="37" ht="30" customHeight="1">
      <c r="A37" s="6" t="inlineStr">
        <is>
          <t>护盾类型</t>
        </is>
      </c>
      <c r="B37" s="6" t="inlineStr">
        <is>
          <t>效果</t>
        </is>
      </c>
      <c r="C37" s="6" t="inlineStr">
        <is>
          <t>破解方式</t>
        </is>
      </c>
      <c r="D37" s="6" t="inlineStr">
        <is>
          <t>设计目的</t>
        </is>
      </c>
    </row>
    <row r="38">
      <c r="A38" s="9" t="inlineStr">
        <is>
          <t>元素护盾 · X</t>
        </is>
      </c>
      <c r="B38" s="9" t="inlineStr">
        <is>
          <t>受到非 X 元素伤害 −60%</t>
        </is>
      </c>
      <c r="C38" s="9" t="inlineStr">
        <is>
          <t>用 X 元素附魔 / X 属性植物攻击</t>
        </is>
      </c>
      <c r="D38" s="9" t="inlineStr">
        <is>
          <t>防止玩家把轮盘排成固定最优解。</t>
        </is>
      </c>
    </row>
    <row r="39">
      <c r="A39" s="9" t="inlineStr">
        <is>
          <t>元素易伤 · X</t>
        </is>
      </c>
      <c r="B39" s="9" t="inlineStr">
        <is>
          <t>受到 X 元素伤害 +100%</t>
        </is>
      </c>
      <c r="C39" s="9" t="inlineStr">
        <is>
          <t>针对性编排轮盘</t>
        </is>
      </c>
      <c r="D39" s="9" t="inlineStr">
        <is>
          <t>奖励开局前的配置决策。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50" customWidth="1" min="4" max="4"/>
    <col width="46" customWidth="1" min="5" max="5"/>
    <col width="60" customWidth="1" min="6" max="6"/>
  </cols>
  <sheetData>
    <row r="1">
      <c r="A1" s="1" t="inlineStr">
        <is>
          <t>卡池清单与稀有度权重</t>
        </is>
      </c>
    </row>
    <row r="2">
      <c r="A2" s="2" t="inlineStr">
        <is>
          <t>稀有度权重（按关卡）</t>
        </is>
      </c>
    </row>
    <row r="3" ht="30" customHeight="1">
      <c r="A3" s="6" t="inlineStr">
        <is>
          <t>关卡</t>
        </is>
      </c>
      <c r="B3" s="6" t="inlineStr">
        <is>
          <t>普通</t>
        </is>
      </c>
      <c r="C3" s="6" t="inlineStr">
        <is>
          <t>稀有</t>
        </is>
      </c>
      <c r="D3" s="6" t="inlineStr">
        <is>
          <t>史诗</t>
        </is>
      </c>
      <c r="E3" s="6" t="inlineStr">
        <is>
          <t>传说</t>
        </is>
      </c>
      <c r="F3" s="6" t="inlineStr">
        <is>
          <t>说明</t>
        </is>
      </c>
    </row>
    <row r="4">
      <c r="A4" s="7" t="n">
        <v>1</v>
      </c>
      <c r="B4" s="18" t="n">
        <v>0.7</v>
      </c>
      <c r="C4" s="18" t="n">
        <v>0.25</v>
      </c>
      <c r="D4" s="18" t="n">
        <v>0.05</v>
      </c>
      <c r="E4" s="18" t="n">
        <v>0</v>
      </c>
      <c r="F4" s="9" t="inlineStr">
        <is>
          <t>教学期，几乎只有基础卡。</t>
        </is>
      </c>
    </row>
    <row r="5">
      <c r="A5" s="7" t="n">
        <v>2</v>
      </c>
      <c r="B5" s="18" t="n">
        <v>0.6</v>
      </c>
      <c r="C5" s="18" t="n">
        <v>0.3</v>
      </c>
      <c r="D5" s="18" t="n">
        <v>0.09</v>
      </c>
      <c r="E5" s="18" t="n">
        <v>0.01</v>
      </c>
      <c r="F5" s="9" t="inlineStr">
        <is>
          <t>首次见到传说，制造惊喜。</t>
        </is>
      </c>
    </row>
    <row r="6">
      <c r="A6" s="7" t="n">
        <v>3</v>
      </c>
      <c r="B6" s="18" t="n">
        <v>0.5</v>
      </c>
      <c r="C6" s="18" t="n">
        <v>0.33</v>
      </c>
      <c r="D6" s="18" t="n">
        <v>0.15</v>
      </c>
      <c r="E6" s="18" t="n">
        <v>0.02</v>
      </c>
      <c r="F6" s="9" t="inlineStr">
        <is>
          <t>构筑开始成型。</t>
        </is>
      </c>
    </row>
    <row r="7">
      <c r="A7" s="7" t="n">
        <v>4</v>
      </c>
      <c r="B7" s="18" t="n">
        <v>0.42</v>
      </c>
      <c r="C7" s="18" t="n">
        <v>0.35</v>
      </c>
      <c r="D7" s="18" t="n">
        <v>0.18</v>
      </c>
      <c r="E7" s="18" t="n">
        <v>0.05</v>
      </c>
      <c r="F7" s="9" t="inlineStr">
        <is>
          <t>构筑发力期。</t>
        </is>
      </c>
    </row>
    <row r="8">
      <c r="A8" s="7" t="inlineStr">
        <is>
          <t>5+</t>
        </is>
      </c>
      <c r="B8" s="18" t="n">
        <v>0.35</v>
      </c>
      <c r="C8" s="18" t="n">
        <v>0.35</v>
      </c>
      <c r="D8" s="18" t="n">
        <v>0.22</v>
      </c>
      <c r="E8" s="18" t="n">
        <v>0.08</v>
      </c>
      <c r="F8" s="9" t="inlineStr">
        <is>
          <t>后期。同关第 4、5 波再 +5% 稀有度权重。</t>
        </is>
      </c>
    </row>
    <row r="10">
      <c r="A10" s="2" t="inlineStr">
        <is>
          <t>卡池</t>
        </is>
      </c>
    </row>
    <row r="11" ht="30" customHeight="1">
      <c r="A11" s="6" t="inlineStr">
        <is>
          <t>类别</t>
        </is>
      </c>
      <c r="B11" s="6" t="inlineStr">
        <is>
          <t>卡名</t>
        </is>
      </c>
      <c r="C11" s="6" t="inlineStr">
        <is>
          <t>稀有度</t>
        </is>
      </c>
      <c r="D11" s="6" t="inlineStr">
        <is>
          <t>效果</t>
        </is>
      </c>
      <c r="E11" s="6" t="inlineStr">
        <is>
          <t>设计备注</t>
        </is>
      </c>
    </row>
    <row r="12">
      <c r="A12" s="7" t="inlineStr">
        <is>
          <t>棋盘</t>
        </is>
      </c>
      <c r="B12" s="7" t="inlineStr">
        <is>
          <t>稳健</t>
        </is>
      </c>
      <c r="C12" s="7" t="inlineStr">
        <is>
          <t>普通</t>
        </is>
      </c>
      <c r="D12" s="9" t="inlineStr">
        <is>
          <t>步数上限 +1</t>
        </is>
      </c>
      <c r="E12" s="9" t="inlineStr">
        <is>
          <t>最基础的节奏卡，前期必拿。</t>
        </is>
      </c>
    </row>
    <row r="13">
      <c r="A13" s="7" t="inlineStr">
        <is>
          <t>棋盘</t>
        </is>
      </c>
      <c r="B13" s="7" t="inlineStr">
        <is>
          <t>疾风</t>
        </is>
      </c>
      <c r="C13" s="7" t="inlineStr">
        <is>
          <t>普通</t>
        </is>
      </c>
      <c r="D13" s="9" t="inlineStr">
        <is>
          <t>步数回复速度 +15%</t>
        </is>
      </c>
      <c r="E13" s="9" t="inlineStr">
        <is>
          <t>与稳健形成「容量 vs 速率」选择。</t>
        </is>
      </c>
    </row>
    <row r="14">
      <c r="A14" s="7" t="inlineStr">
        <is>
          <t>棋盘</t>
        </is>
      </c>
      <c r="B14" s="7" t="inlineStr">
        <is>
          <t>聚能</t>
        </is>
      </c>
      <c r="C14" s="7" t="inlineStr">
        <is>
          <t>普通</t>
        </is>
      </c>
      <c r="D14" s="9" t="inlineStr">
        <is>
          <t>充能条上限 −10</t>
        </is>
      </c>
      <c r="E14" s="9" t="inlineStr">
        <is>
          <t>等价于附魔频率 +11%。</t>
        </is>
      </c>
    </row>
    <row r="15">
      <c r="A15" s="7" t="inlineStr">
        <is>
          <t>棋盘</t>
        </is>
      </c>
      <c r="B15" s="7" t="inlineStr">
        <is>
          <t>精准</t>
        </is>
      </c>
      <c r="C15" s="7" t="inlineStr">
        <is>
          <t>稀有</t>
        </is>
      </c>
      <c r="D15" s="9" t="inlineStr">
        <is>
          <t>生成值为高档的概率 +25%</t>
        </is>
      </c>
      <c r="E15" s="9" t="inlineStr">
        <is>
          <t>隐性加速，体感不明显但收益高。</t>
        </is>
      </c>
    </row>
    <row r="16">
      <c r="A16" s="7" t="inlineStr">
        <is>
          <t>棋盘</t>
        </is>
      </c>
      <c r="B16" s="7" t="inlineStr">
        <is>
          <t>净化术</t>
        </is>
      </c>
      <c r="C16" s="7" t="inlineStr">
        <is>
          <t>稀有</t>
        </is>
      </c>
      <c r="D16" s="9" t="inlineStr">
        <is>
          <t>立即清除所有 ≤8 方块并 +2 步</t>
        </is>
      </c>
      <c r="E16" s="9" t="inlineStr">
        <is>
          <t>救急卡。</t>
        </is>
      </c>
    </row>
    <row r="17">
      <c r="A17" s="7" t="inlineStr">
        <is>
          <t>棋盘</t>
        </is>
      </c>
      <c r="B17" s="7" t="inlineStr">
        <is>
          <t>丰饶</t>
        </is>
      </c>
      <c r="C17" s="7" t="inlineStr">
        <is>
          <t>史诗</t>
        </is>
      </c>
      <c r="D17" s="9" t="inlineStr">
        <is>
          <t>每次移动额外生成 1 个方块</t>
        </is>
      </c>
      <c r="E17" s="9" t="inlineStr">
        <is>
          <t>★ 双刃卡：产出翻倍，但棋盘更容易满。制造真实抉择。</t>
        </is>
      </c>
    </row>
    <row r="18">
      <c r="A18" s="7" t="inlineStr">
        <is>
          <t>棋盘</t>
        </is>
      </c>
      <c r="B18" s="7" t="inlineStr">
        <is>
          <t>连锁核心</t>
        </is>
      </c>
      <c r="C18" s="7" t="inlineStr">
        <is>
          <t>传说</t>
        </is>
      </c>
      <c r="D18" s="9" t="inlineStr">
        <is>
          <t>一次移动中第 3 次及以后的合并，充能与 CV 翻倍</t>
        </is>
      </c>
      <c r="E18" s="9" t="inlineStr">
        <is>
          <t>★ 奖励布局技巧，是高手与普通玩家的分水岭。</t>
        </is>
      </c>
    </row>
    <row r="19">
      <c r="A19" s="7" t="inlineStr">
        <is>
          <t>战斗</t>
        </is>
      </c>
      <c r="B19" s="7" t="inlineStr">
        <is>
          <t>锋锐</t>
        </is>
      </c>
      <c r="C19" s="7" t="inlineStr">
        <is>
          <t>普通</t>
        </is>
      </c>
      <c r="D19" s="9" t="inlineStr">
        <is>
          <t>全植物伤害 +15%</t>
        </is>
      </c>
      <c r="E19" s="9" t="inlineStr">
        <is>
          <t>基准战力卡。</t>
        </is>
      </c>
    </row>
    <row r="20">
      <c r="A20" s="7" t="inlineStr">
        <is>
          <t>战斗</t>
        </is>
      </c>
      <c r="B20" s="7" t="inlineStr">
        <is>
          <t>连射</t>
        </is>
      </c>
      <c r="C20" s="7" t="inlineStr">
        <is>
          <t>普通</t>
        </is>
      </c>
      <c r="D20" s="9" t="inlineStr">
        <is>
          <t>全植物攻速 +12%</t>
        </is>
      </c>
      <c r="E20" s="9" t="inlineStr">
        <is>
          <t>与锋锐近似等效，制造选择困难。</t>
        </is>
      </c>
    </row>
    <row r="21">
      <c r="A21" s="7" t="inlineStr">
        <is>
          <t>战斗</t>
        </is>
      </c>
      <c r="B21" s="7" t="inlineStr">
        <is>
          <t>远眺</t>
        </is>
      </c>
      <c r="C21" s="7" t="inlineStr">
        <is>
          <t>普通</t>
        </is>
      </c>
      <c r="D21" s="9" t="inlineStr">
        <is>
          <t>全植物射程 +1</t>
        </is>
      </c>
      <c r="E21" s="9" t="inlineStr">
        <is>
          <t>价值依赖编队，情境性强。</t>
        </is>
      </c>
    </row>
    <row r="22">
      <c r="A22" s="7" t="inlineStr">
        <is>
          <t>战斗</t>
        </is>
      </c>
      <c r="B22" s="7" t="inlineStr">
        <is>
          <t>破甲</t>
        </is>
      </c>
      <c r="C22" s="7" t="inlineStr">
        <is>
          <t>稀有</t>
        </is>
      </c>
      <c r="D22" s="9" t="inlineStr">
        <is>
          <t>无视 30% 护甲</t>
        </is>
      </c>
      <c r="E22" s="9" t="inlineStr">
        <is>
          <t>针对重甲/Boss 波。</t>
        </is>
      </c>
    </row>
    <row r="23">
      <c r="A23" s="7" t="inlineStr">
        <is>
          <t>战斗</t>
        </is>
      </c>
      <c r="B23" s="7" t="inlineStr">
        <is>
          <t>暴击</t>
        </is>
      </c>
      <c r="C23" s="7" t="inlineStr">
        <is>
          <t>稀有</t>
        </is>
      </c>
      <c r="D23" s="9" t="inlineStr">
        <is>
          <t>暴击率 +10%，暴击伤害 150%</t>
        </is>
      </c>
      <c r="E23" s="9" t="inlineStr">
        <is>
          <t>期望 +5% 伤害，但方差大，适合赌狗。</t>
        </is>
      </c>
    </row>
    <row r="24">
      <c r="A24" s="7" t="inlineStr">
        <is>
          <t>战斗</t>
        </is>
      </c>
      <c r="B24" s="7" t="inlineStr">
        <is>
          <t>荆棘</t>
        </is>
      </c>
      <c r="C24" s="7" t="inlineStr">
        <is>
          <t>史诗</t>
        </is>
      </c>
      <c r="D24" s="9" t="inlineStr">
        <is>
          <t>敌人撞核心时反伤 200</t>
        </is>
      </c>
      <c r="E24" s="9" t="inlineStr">
        <is>
          <t>被动防守，缓解后期压力。</t>
        </is>
      </c>
    </row>
    <row r="25">
      <c r="A25" s="7" t="inlineStr">
        <is>
          <t>战斗</t>
        </is>
      </c>
      <c r="B25" s="7" t="inlineStr">
        <is>
          <t>共生</t>
        </is>
      </c>
      <c r="C25" s="7" t="inlineStr">
        <is>
          <t>传说</t>
        </is>
      </c>
      <c r="D25" s="9" t="inlineStr">
        <is>
          <t>每个存活植物使全植物伤害 +8%</t>
        </is>
      </c>
      <c r="E25" s="9" t="inlineStr">
        <is>
          <t>配合满编队 = +48%，后期最强战斗卡。</t>
        </is>
      </c>
    </row>
    <row r="26">
      <c r="A26" s="7" t="inlineStr">
        <is>
          <t>附魔</t>
        </is>
      </c>
      <c r="B26" s="7" t="inlineStr">
        <is>
          <t>元素亲和 · X</t>
        </is>
      </c>
      <c r="C26" s="7" t="inlineStr">
        <is>
          <t>普通</t>
        </is>
      </c>
      <c r="D26" s="9" t="inlineStr">
        <is>
          <t>X 元素威力 +30%（六种各一张）</t>
        </is>
      </c>
      <c r="E26" s="9" t="inlineStr">
        <is>
          <t>构筑核心。六张同名系卡。</t>
        </is>
      </c>
    </row>
    <row r="27">
      <c r="A27" s="7" t="inlineStr">
        <is>
          <t>附魔</t>
        </is>
      </c>
      <c r="B27" s="7" t="inlineStr">
        <is>
          <t>充能加速</t>
        </is>
      </c>
      <c r="C27" s="7" t="inlineStr">
        <is>
          <t>普通</t>
        </is>
      </c>
      <c r="D27" s="9" t="inlineStr">
        <is>
          <t>每次合成充能 +25%</t>
        </is>
      </c>
      <c r="E27" s="9" t="inlineStr">
        <is>
          <t>等价于附魔频率 +25%。</t>
        </is>
      </c>
    </row>
    <row r="28">
      <c r="A28" s="7" t="inlineStr">
        <is>
          <t>附魔</t>
        </is>
      </c>
      <c r="B28" s="7" t="inlineStr">
        <is>
          <t>共鸣强化</t>
        </is>
      </c>
      <c r="C28" s="7" t="inlineStr">
        <is>
          <t>稀有</t>
        </is>
      </c>
      <c r="D28" s="9" t="inlineStr">
        <is>
          <t>共鸣加成 1.4→1.6，1.8→2.2</t>
        </is>
      </c>
      <c r="E28" s="9" t="inlineStr">
        <is>
          <t>★ 纯色队的核心卡。</t>
        </is>
      </c>
    </row>
    <row r="29">
      <c r="A29" s="7" t="inlineStr">
        <is>
          <t>附魔</t>
        </is>
      </c>
      <c r="B29" s="7" t="inlineStr">
        <is>
          <t>双生</t>
        </is>
      </c>
      <c r="C29" s="7" t="inlineStr">
        <is>
          <t>史诗</t>
        </is>
      </c>
      <c r="D29" s="9" t="inlineStr">
        <is>
          <t>附魔时同时触发轮盘下一位元素，威力各 60%</t>
        </is>
      </c>
      <c r="E29" s="9" t="inlineStr">
        <is>
          <t>改变轮盘节奏，需要重新规划。</t>
        </is>
      </c>
    </row>
    <row r="30">
      <c r="A30" s="7" t="inlineStr">
        <is>
          <t>附魔</t>
        </is>
      </c>
      <c r="B30" s="7" t="inlineStr">
        <is>
          <t>超载</t>
        </is>
      </c>
      <c r="C30" s="7" t="inlineStr">
        <is>
          <t>史诗</t>
        </is>
      </c>
      <c r="D30" s="9" t="inlineStr">
        <is>
          <t>大附魔品质 +1 级（512 视为 1024）</t>
        </is>
      </c>
      <c r="E30" s="9" t="inlineStr">
        <is>
          <t>★ 大数字流的核心卡。</t>
        </is>
      </c>
    </row>
    <row r="31">
      <c r="A31" s="7" t="inlineStr">
        <is>
          <t>附魔</t>
        </is>
      </c>
      <c r="B31" s="7" t="inlineStr">
        <is>
          <t>星爆</t>
        </is>
      </c>
      <c r="C31" s="7" t="inlineStr">
        <is>
          <t>传说</t>
        </is>
      </c>
      <c r="D31" s="9" t="inlineStr">
        <is>
          <t>2048 附魔威力 +100%，且必定暴击</t>
        </is>
      </c>
      <c r="E31" s="9" t="inlineStr">
        <is>
          <t>极限流冲刺卡。</t>
        </is>
      </c>
    </row>
    <row r="32">
      <c r="A32" s="7" t="inlineStr">
        <is>
          <t>经济</t>
        </is>
      </c>
      <c r="B32" s="7" t="inlineStr">
        <is>
          <t>贪婪</t>
        </is>
      </c>
      <c r="C32" s="7" t="inlineStr">
        <is>
          <t>普通</t>
        </is>
      </c>
      <c r="D32" s="9" t="inlineStr">
        <is>
          <t>金币 +25%</t>
        </is>
      </c>
      <c r="E32" s="9" t="inlineStr">
        <is>
          <t>收益型，适合准备收工时拿。</t>
        </is>
      </c>
    </row>
    <row r="33">
      <c r="A33" s="7" t="inlineStr">
        <is>
          <t>经济</t>
        </is>
      </c>
      <c r="B33" s="7" t="inlineStr">
        <is>
          <t>采集</t>
        </is>
      </c>
      <c r="C33" s="7" t="inlineStr">
        <is>
          <t>普通</t>
        </is>
      </c>
      <c r="D33" s="9" t="inlineStr">
        <is>
          <t>碎片产出 +50%</t>
        </is>
      </c>
      <c r="E33" s="9" t="inlineStr">
        <is>
          <t>长线收益。</t>
        </is>
      </c>
    </row>
    <row r="34">
      <c r="A34" s="7" t="inlineStr">
        <is>
          <t>经济</t>
        </is>
      </c>
      <c r="B34" s="7" t="inlineStr">
        <is>
          <t>结晶</t>
        </is>
      </c>
      <c r="C34" s="7" t="inlineStr">
        <is>
          <t>稀有</t>
        </is>
      </c>
      <c r="D34" s="9" t="inlineStr">
        <is>
          <t>所有 CV × 1.15</t>
        </is>
      </c>
      <c r="E34" s="9" t="inlineStr">
        <is>
          <t>通用收益卡，永远不亏但也不出彩。</t>
        </is>
      </c>
    </row>
    <row r="35">
      <c r="A35" s="7" t="inlineStr">
        <is>
          <t>经济</t>
        </is>
      </c>
      <c r="B35" s="7" t="inlineStr">
        <is>
          <t>升华</t>
        </is>
      </c>
      <c r="C35" s="7" t="inlineStr">
        <is>
          <t>稀有</t>
        </is>
      </c>
      <c r="D35" s="9" t="inlineStr">
        <is>
          <t>自动升华阈值降至 256</t>
        </is>
      </c>
      <c r="E35" s="9" t="inlineStr">
        <is>
          <t>★ 兑现流核心卡，与「贪婪核心」互斥。</t>
        </is>
      </c>
    </row>
    <row r="36">
      <c r="A36" s="7" t="inlineStr">
        <is>
          <t>经济</t>
        </is>
      </c>
      <c r="B36" s="7" t="inlineStr">
        <is>
          <t>囤积</t>
        </is>
      </c>
      <c r="C36" s="7" t="inlineStr">
        <is>
          <t>史诗</t>
        </is>
      </c>
      <c r="D36" s="9" t="inlineStr">
        <is>
          <t>大招核心消耗 −1，星核产出 +20%</t>
        </is>
      </c>
      <c r="E36" s="9" t="inlineStr">
        <is>
          <t>双重收益，史诗级定价合理。</t>
        </is>
      </c>
    </row>
    <row r="37">
      <c r="A37" s="7" t="inlineStr">
        <is>
          <t>战术</t>
        </is>
      </c>
      <c r="B37" s="7" t="inlineStr">
        <is>
          <t>战术家</t>
        </is>
      </c>
      <c r="C37" s="7" t="inlineStr">
        <is>
          <t>普通</t>
        </is>
      </c>
      <c r="D37" s="9" t="inlineStr">
        <is>
          <t>星核产出 +30%</t>
        </is>
      </c>
      <c r="E37" s="9" t="inlineStr">
        <is>
          <t>提升救急能力。</t>
        </is>
      </c>
    </row>
    <row r="38">
      <c r="A38" s="7" t="inlineStr">
        <is>
          <t>战术</t>
        </is>
      </c>
      <c r="B38" s="7" t="inlineStr">
        <is>
          <t>时间膨胀</t>
        </is>
      </c>
      <c r="C38" s="7" t="inlineStr">
        <is>
          <t>稀有</t>
        </is>
      </c>
      <c r="D38" s="9" t="inlineStr">
        <is>
          <t>每波开始 +3 步</t>
        </is>
      </c>
      <c r="E38" s="9" t="inlineStr">
        <is>
          <t>等价于每波 +15% 步数。</t>
        </is>
      </c>
    </row>
    <row r="39">
      <c r="A39" s="7" t="inlineStr">
        <is>
          <t>战术</t>
        </is>
      </c>
      <c r="B39" s="7" t="inlineStr">
        <is>
          <t>急救</t>
        </is>
      </c>
      <c r="C39" s="7" t="inlineStr">
        <is>
          <t>稀有</t>
        </is>
      </c>
      <c r="D39" s="9" t="inlineStr">
        <is>
          <t>核心 HP 首次低于 30% 时回复 40%</t>
        </is>
      </c>
      <c r="E39" s="9" t="inlineStr">
        <is>
          <t>一次性保险。</t>
        </is>
      </c>
    </row>
    <row r="40">
      <c r="A40" s="7" t="inlineStr">
        <is>
          <t>战术</t>
        </is>
      </c>
      <c r="B40" s="7" t="inlineStr">
        <is>
          <t>备用核心</t>
        </is>
      </c>
      <c r="C40" s="7" t="inlineStr">
        <is>
          <t>史诗</t>
        </is>
      </c>
      <c r="D40" s="9" t="inlineStr">
        <is>
          <t>核心归零时以 30% HP 复活一次</t>
        </is>
      </c>
      <c r="E40" s="9" t="inlineStr">
        <is>
          <t>★ 直接改变继续/收工的期望值计算。</t>
        </is>
      </c>
    </row>
    <row r="41">
      <c r="A41" s="7" t="inlineStr">
        <is>
          <t>战术</t>
        </is>
      </c>
      <c r="B41" s="7" t="inlineStr">
        <is>
          <t>贪婪核心</t>
        </is>
      </c>
      <c r="C41" s="7" t="inlineStr">
        <is>
          <t>传说</t>
        </is>
      </c>
      <c r="D41" s="9" t="inlineStr">
        <is>
          <t>关闭自动升华</t>
        </is>
      </c>
      <c r="E41" s="9" t="inlineStr">
        <is>
          <t>★ 高风险高回报的极限流开关，是升华机制的策略深度所在。</t>
        </is>
      </c>
    </row>
    <row r="43">
      <c r="A43" s="5" t="inlineStr">
        <is>
          <t>卡池当前 30 张（含 6 张元素亲和变体则共 35 张）。V2 完整版目标 ≥ 60 张，否则 4–6 关后卡池枯竭，构筑深度崩塌。</t>
        </is>
      </c>
    </row>
    <row r="44">
      <c r="A44" s="5" t="inlineStr">
        <is>
          <t>平衡红线：同名卡重复时效果加法叠加而非乘法，防止指数爆炸。若埋点显示某卡选取率 &gt; 70%，说明该卡超模或同类卡过少。</t>
        </is>
      </c>
    </row>
    <row r="45">
      <c r="A45" s="5" t="inlineStr">
        <is>
          <t>建议补充机制：卡牌升阶 —— 同名卡可合并强化，缓解后期卡池枯竭（见 GDD 风险 R5）。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6" customWidth="1" min="3" max="3"/>
    <col width="46" customWidth="1" min="4" max="4"/>
  </cols>
  <sheetData>
    <row r="1">
      <c r="A1" s="1" t="inlineStr">
        <is>
          <t>继续 / 收工 期望值计算器</t>
        </is>
      </c>
    </row>
    <row r="2">
      <c r="A2" s="5" t="inlineStr">
        <is>
          <t>公式：收工 EV = P ｜ 继续 EV = p×(P+R) + (1−p)×b×P ｜ 继续优于收工 ⟺ p &gt; (1−b)P / ((1−b)P + R)</t>
        </is>
      </c>
    </row>
    <row r="3">
      <c r="A3" s="2" t="inlineStr">
        <is>
          <t>主计算</t>
        </is>
      </c>
    </row>
    <row r="4" ht="30" customHeight="1">
      <c r="A4" s="6" t="inlineStr">
        <is>
          <t>参数</t>
        </is>
      </c>
      <c r="B4" s="6" t="inlineStr">
        <is>
          <t>值</t>
        </is>
      </c>
      <c r="C4" s="6" t="inlineStr">
        <is>
          <t>说明</t>
        </is>
      </c>
    </row>
    <row r="5">
      <c r="A5" s="7" t="inlineStr">
        <is>
          <t>当前累积收益池 P</t>
        </is>
      </c>
      <c r="B5" s="13" t="n">
        <v>1000</v>
      </c>
      <c r="C5" s="7" t="inlineStr">
        <is>
          <t>任意单位。EV 结论与 P 的绝对值无关，只与 R/P 比例有关。</t>
        </is>
      </c>
    </row>
    <row r="6">
      <c r="A6" s="7" t="inlineStr">
        <is>
          <t>下一关预期收益 R</t>
        </is>
      </c>
      <c r="B6" s="10">
        <f>$B$5*'01_核心常量'!$D$44</f>
        <v/>
      </c>
      <c r="C6" s="7">
        <f> P × R_RATIO。R_RATIO 由关卡收益倍率递增推导。</f>
        <v/>
      </c>
    </row>
    <row r="7">
      <c r="A7" s="7" t="inlineStr">
        <is>
          <t>失败保底比例 b</t>
        </is>
      </c>
      <c r="B7" s="19">
        <f>'01_核心常量'!$D$43</f>
        <v/>
      </c>
      <c r="C7" s="7" t="inlineStr">
        <is>
          <t>引用 01 核心常量 B_FAIL。</t>
        </is>
      </c>
    </row>
    <row r="8">
      <c r="A8" s="7" t="inlineStr">
        <is>
          <t>玩家自估通关概率 p</t>
        </is>
      </c>
      <c r="B8" s="20" t="n">
        <v>0.6</v>
      </c>
      <c r="C8" s="7" t="inlineStr">
        <is>
          <t>玩家主观判断。设计目标是让临界阈值足够低，从而鼓励冒险。</t>
        </is>
      </c>
    </row>
    <row r="10" ht="30" customHeight="1">
      <c r="A10" s="6" t="inlineStr">
        <is>
          <t>指标</t>
        </is>
      </c>
      <c r="B10" s="6" t="inlineStr">
        <is>
          <t>值</t>
        </is>
      </c>
      <c r="C10" s="6" t="inlineStr">
        <is>
          <t>说明</t>
        </is>
      </c>
    </row>
    <row r="11">
      <c r="A11" s="7" t="inlineStr">
        <is>
          <t>收工 EV</t>
        </is>
      </c>
      <c r="B11" s="14">
        <f>$B$5</f>
        <v/>
      </c>
      <c r="C11" s="7" t="inlineStr">
        <is>
          <t>确定性收益。</t>
        </is>
      </c>
    </row>
    <row r="12">
      <c r="A12" s="7" t="inlineStr">
        <is>
          <t>继续 EV</t>
        </is>
      </c>
      <c r="B12" s="14">
        <f>$B$8*($B$5+$B$6)+(1-$B$8)*$B$7*$B$5</f>
        <v/>
      </c>
      <c r="C12" s="7">
        <f> p×(P+R) + (1−p)×b×P</f>
        <v/>
      </c>
    </row>
    <row r="13">
      <c r="A13" s="7" t="inlineStr">
        <is>
          <t>EV 差值（继续 − 收工）</t>
        </is>
      </c>
      <c r="B13" s="21">
        <f>$B$12-$B$11</f>
        <v/>
      </c>
      <c r="C13" s="7" t="inlineStr">
        <is>
          <t>&gt; 0 表示理性上应该选择继续。</t>
        </is>
      </c>
    </row>
    <row r="14">
      <c r="A14" s="7" t="inlineStr">
        <is>
          <t>临界通关概率 p*</t>
        </is>
      </c>
      <c r="B14" s="22">
        <f>(1-$B$7)*$B$5/((1-$B$7)*$B$5+$B$6)</f>
        <v/>
      </c>
      <c r="C14" s="7" t="inlineStr">
        <is>
          <t>★ p &gt; p* 时继续是正期望。这是整个风险系统的核心数字。</t>
        </is>
      </c>
    </row>
    <row r="16">
      <c r="A16" s="2" t="inlineStr">
        <is>
          <t>保底比例 b 的敏感性分析（★ 冒险倾向主旋钮）</t>
        </is>
      </c>
    </row>
    <row r="17" ht="30" customHeight="1">
      <c r="A17" s="6" t="inlineStr">
        <is>
          <t>保底 b</t>
        </is>
      </c>
      <c r="B17" s="6" t="inlineStr">
        <is>
          <t>临界概率 p*</t>
        </is>
      </c>
      <c r="C17" s="6" t="inlineStr">
        <is>
          <t>玩家行为预测</t>
        </is>
      </c>
      <c r="D17" s="6" t="inlineStr">
        <is>
          <t>适用产品目标</t>
        </is>
      </c>
    </row>
    <row r="18">
      <c r="A18" s="18" t="n">
        <v>0</v>
      </c>
      <c r="B18" s="23">
        <f>(1-A18)/((1-A18)+'01_核心常量'!$D$44)</f>
        <v/>
      </c>
      <c r="C18" s="9" t="inlineStr">
        <is>
          <t>极度保守，玩家会提前收工</t>
        </is>
      </c>
      <c r="D18" s="9" t="inlineStr">
        <is>
          <t>硬核产品，追求策略纯度</t>
        </is>
      </c>
    </row>
    <row r="19">
      <c r="A19" s="18" t="n">
        <v>0.2</v>
      </c>
      <c r="B19" s="23">
        <f>(1-A19)/((1-A19)+'01_核心常量'!$D$44)</f>
        <v/>
      </c>
      <c r="C19" s="9" t="inlineStr">
        <is>
          <t>偏保守，多数玩家 3–4 关收工</t>
        </is>
      </c>
      <c r="D19" s="9" t="inlineStr">
        <is>
          <t>中核产品，单局时长可控</t>
        </is>
      </c>
    </row>
    <row r="20">
      <c r="A20" s="18" t="n">
        <v>0.3</v>
      </c>
      <c r="B20" s="23">
        <f>(1-A20)/((1-A20)+'01_核心常量'!$D$44)</f>
        <v/>
      </c>
      <c r="C20" s="9" t="inlineStr">
        <is>
          <t>略保守</t>
        </is>
      </c>
      <c r="D20" s="9" t="inlineStr">
        <is>
          <t>—</t>
        </is>
      </c>
    </row>
    <row r="21">
      <c r="A21" s="20" t="n">
        <v>0.4</v>
      </c>
      <c r="B21" s="24">
        <f>(1-A21)/((1-A21)+'01_核心常量'!$D$44)</f>
        <v/>
      </c>
      <c r="C21" s="25" t="inlineStr">
        <is>
          <t>★ 平衡点，决策有张力</t>
        </is>
      </c>
      <c r="D21" s="25" t="inlineStr">
        <is>
          <t>★ 推荐：H5 休闲偏中核</t>
        </is>
      </c>
    </row>
    <row r="22">
      <c r="A22" s="18" t="n">
        <v>0.5</v>
      </c>
      <c r="B22" s="23">
        <f>(1-A22)/((1-A22)+'01_核心常量'!$D$44)</f>
        <v/>
      </c>
      <c r="C22" s="9" t="inlineStr">
        <is>
          <t>略激进</t>
        </is>
      </c>
      <c r="D22" s="9" t="inlineStr">
        <is>
          <t>—</t>
        </is>
      </c>
    </row>
    <row r="23">
      <c r="A23" s="18" t="n">
        <v>0.6</v>
      </c>
      <c r="B23" s="23">
        <f>(1-A23)/((1-A23)+'01_核心常量'!$D$44)</f>
        <v/>
      </c>
      <c r="C23" s="9" t="inlineStr">
        <is>
          <t>激进，玩家几乎不主动收工</t>
        </is>
      </c>
      <c r="D23" s="9" t="inlineStr">
        <is>
          <t>追求高重开率与广告曝光</t>
        </is>
      </c>
    </row>
    <row r="24">
      <c r="A24" s="18" t="n">
        <v>0.8</v>
      </c>
      <c r="B24" s="23">
        <f>(1-A24)/((1-A24)+'01_核心常量'!$D$44)</f>
        <v/>
      </c>
      <c r="C24" s="9" t="inlineStr">
        <is>
          <t>极度激进，收工按钮形同虚设</t>
        </is>
      </c>
      <c r="D24" s="9" t="inlineStr">
        <is>
          <t>纯广告变现产品</t>
        </is>
      </c>
    </row>
    <row r="25">
      <c r="A25" s="18" t="n">
        <v>1</v>
      </c>
      <c r="B25" s="23">
        <f>(1-A25)/((1-A25)+'01_核心常量'!$D$44)</f>
        <v/>
      </c>
      <c r="C25" s="9" t="inlineStr">
        <is>
          <t>无风险，继续永远最优</t>
        </is>
      </c>
      <c r="D25" s="9" t="inlineStr">
        <is>
          <t>决策消失，不推荐</t>
        </is>
      </c>
    </row>
    <row r="27">
      <c r="A27" s="5" t="inlineStr">
        <is>
          <t>【关键洞察】保底比例 b 从 0.2 提到 0.6，临界概率从 50% 降到 33% —— 玩家会明显更爱冒险。这是调节「重开率」最廉价的旋钮，优先用它做 A/B 测。</t>
        </is>
      </c>
    </row>
    <row r="28">
      <c r="A28" s="5" t="inlineStr">
        <is>
          <t>★【隐藏的美妙性质】R/P 比例随关卡自然变化：第 2 关约 1.55（p*≈28%，极度鼓励冒险）→ 第 6 关约 0.53（p*≈53%，必须谨慎）。也就是说游戏在早期自动怂恿玩家冒进、后期自动转为审慎 —— 这是收益倍率递增结构带来的免费礼物，不要在调参时破坏它。</t>
        </is>
      </c>
    </row>
    <row r="29">
      <c r="A29" s="5" t="inlineStr">
        <is>
          <t>【注意】卡牌「备用核心」（核心归零时以 30% HP 复活一次）等价于把 b 临时抬高，会显著改变玩家在持有该卡时的决策。这张卡的实际价值远高于其描述。</t>
        </is>
      </c>
    </row>
    <row r="30">
      <c r="A30" s="5" t="inlineStr">
        <is>
          <t>【UI 强制要求】关卡结算界面必须同屏显示：当前池 / 下一关倍率与威胁等级 / 继续的预估收益 +R / 失败保底规则。缺一项，这个决策就不成立。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8" customWidth="1" min="6" max="6"/>
    <col width="32" customWidth="1" min="7" max="7"/>
  </cols>
  <sheetData>
    <row r="1">
      <c r="A1" s="1" t="inlineStr">
        <is>
          <t>星尘养成树与花园产出模型</t>
        </is>
      </c>
    </row>
    <row r="2">
      <c r="A2" s="2" t="inlineStr">
        <is>
          <t>养成树成本模型</t>
        </is>
      </c>
    </row>
    <row r="3">
      <c r="A3" s="5" t="inlineStr">
        <is>
          <t>成本公式：Cost(n) = 基础成本 × 增长系数^(n−1)</t>
        </is>
      </c>
    </row>
    <row r="4" ht="30" customHeight="1">
      <c r="A4" s="6" t="inlineStr">
        <is>
          <t>等级</t>
        </is>
      </c>
      <c r="B4" s="6" t="inlineStr">
        <is>
          <t>单级成本(星尘)</t>
        </is>
      </c>
      <c r="C4" s="6" t="inlineStr">
        <is>
          <t>累计成本</t>
        </is>
      </c>
      <c r="D4" s="6" t="inlineStr">
        <is>
          <t>根系效果</t>
        </is>
      </c>
      <c r="E4" s="6" t="inlineStr">
        <is>
          <t>枝叶效果</t>
        </is>
      </c>
      <c r="F4" s="6" t="inlineStr">
        <is>
          <t>花蕾效果</t>
        </is>
      </c>
      <c r="G4" s="6" t="inlineStr">
        <is>
          <t>果实效果</t>
        </is>
      </c>
    </row>
    <row r="5">
      <c r="A5" s="7" t="n">
        <v>1</v>
      </c>
      <c r="B5" s="10">
        <f>ROUND('01_核心常量'!$D$45*'01_核心常量'!$D$46^(A5-1),0)</f>
        <v/>
      </c>
      <c r="C5" s="10">
        <f>B5</f>
        <v/>
      </c>
      <c r="D5" s="7" t="inlineStr">
        <is>
          <t>步数+0.2 / 回复+3% / 充能条−2%</t>
        </is>
      </c>
      <c r="E5" s="7" t="inlineStr">
        <is>
          <t>植物伤害+3% / 核心HP+4%</t>
        </is>
      </c>
      <c r="F5" s="7" t="inlineStr">
        <is>
          <t>全元素威力+4%</t>
        </is>
      </c>
      <c r="G5" s="7" t="inlineStr">
        <is>
          <t>金币+4% / 碎片+6% / 花园产出+5%</t>
        </is>
      </c>
    </row>
    <row r="6">
      <c r="A6" s="7" t="n">
        <v>2</v>
      </c>
      <c r="B6" s="10">
        <f>ROUND('01_核心常量'!$D$45*'01_核心常量'!$D$46^(A6-1),0)</f>
        <v/>
      </c>
      <c r="C6" s="10">
        <f>C5+B6</f>
        <v/>
      </c>
      <c r="D6" s="7" t="inlineStr">
        <is>
          <t>步数+0.2 / 回复+3% / 充能条−2%</t>
        </is>
      </c>
      <c r="E6" s="7" t="inlineStr">
        <is>
          <t>植物伤害+3% / 核心HP+4%</t>
        </is>
      </c>
      <c r="F6" s="7" t="inlineStr">
        <is>
          <t>全元素威力+4%</t>
        </is>
      </c>
      <c r="G6" s="7" t="inlineStr">
        <is>
          <t>金币+4% / 碎片+6% / 花园产出+5%</t>
        </is>
      </c>
    </row>
    <row r="7">
      <c r="A7" s="7" t="n">
        <v>3</v>
      </c>
      <c r="B7" s="10">
        <f>ROUND('01_核心常量'!$D$45*'01_核心常量'!$D$46^(A7-1),0)</f>
        <v/>
      </c>
      <c r="C7" s="10">
        <f>C6+B7</f>
        <v/>
      </c>
      <c r="D7" s="7" t="inlineStr">
        <is>
          <t>步数+0.2 / 回复+3% / 充能条−2%</t>
        </is>
      </c>
      <c r="E7" s="7" t="inlineStr">
        <is>
          <t>植物伤害+3% / 核心HP+4%</t>
        </is>
      </c>
      <c r="F7" s="7" t="inlineStr">
        <is>
          <t>全元素威力+4%</t>
        </is>
      </c>
      <c r="G7" s="7" t="inlineStr">
        <is>
          <t>金币+4% / 碎片+6% / 花园产出+5%</t>
        </is>
      </c>
    </row>
    <row r="8">
      <c r="A8" s="7" t="n">
        <v>4</v>
      </c>
      <c r="B8" s="10">
        <f>ROUND('01_核心常量'!$D$45*'01_核心常量'!$D$46^(A8-1),0)</f>
        <v/>
      </c>
      <c r="C8" s="10">
        <f>C7+B8</f>
        <v/>
      </c>
      <c r="D8" s="7" t="inlineStr">
        <is>
          <t>步数+0.2 / 回复+3% / 充能条−2%</t>
        </is>
      </c>
      <c r="E8" s="7" t="inlineStr">
        <is>
          <t>植物伤害+3% / 核心HP+4%</t>
        </is>
      </c>
      <c r="F8" s="7" t="inlineStr">
        <is>
          <t>全元素威力+4%</t>
        </is>
      </c>
      <c r="G8" s="7" t="inlineStr">
        <is>
          <t>金币+4% / 碎片+6% / 花园产出+5%</t>
        </is>
      </c>
    </row>
    <row r="9">
      <c r="A9" s="7" t="n">
        <v>5</v>
      </c>
      <c r="B9" s="10">
        <f>ROUND('01_核心常量'!$D$45*'01_核心常量'!$D$46^(A9-1),0)</f>
        <v/>
      </c>
      <c r="C9" s="10">
        <f>C8+B9</f>
        <v/>
      </c>
      <c r="D9" s="7" t="inlineStr">
        <is>
          <t>步数+0.2 / 回复+3% / 充能条−2%</t>
        </is>
      </c>
      <c r="E9" s="7" t="inlineStr">
        <is>
          <t>植物伤害+3% / 核心HP+4%</t>
        </is>
      </c>
      <c r="F9" s="7" t="inlineStr">
        <is>
          <t>全元素威力+4%</t>
        </is>
      </c>
      <c r="G9" s="7" t="inlineStr">
        <is>
          <t>金币+4% / 碎片+6% / 花园产出+5%</t>
        </is>
      </c>
    </row>
    <row r="10">
      <c r="A10" s="7" t="n">
        <v>6</v>
      </c>
      <c r="B10" s="10">
        <f>ROUND('01_核心常量'!$D$45*'01_核心常量'!$D$46^(A10-1),0)</f>
        <v/>
      </c>
      <c r="C10" s="10">
        <f>C9+B10</f>
        <v/>
      </c>
      <c r="D10" s="7" t="inlineStr">
        <is>
          <t>步数+0.2 / 回复+3% / 充能条−2%</t>
        </is>
      </c>
      <c r="E10" s="7" t="inlineStr">
        <is>
          <t>植物伤害+3% / 核心HP+4%</t>
        </is>
      </c>
      <c r="F10" s="7" t="inlineStr">
        <is>
          <t>全元素威力+4%</t>
        </is>
      </c>
      <c r="G10" s="7" t="inlineStr">
        <is>
          <t>金币+4% / 碎片+6% / 花园产出+5%</t>
        </is>
      </c>
    </row>
    <row r="11">
      <c r="A11" s="7" t="n">
        <v>7</v>
      </c>
      <c r="B11" s="10">
        <f>ROUND('01_核心常量'!$D$45*'01_核心常量'!$D$46^(A11-1),0)</f>
        <v/>
      </c>
      <c r="C11" s="10">
        <f>C10+B11</f>
        <v/>
      </c>
      <c r="D11" s="7" t="inlineStr">
        <is>
          <t>步数+0.2 / 回复+3% / 充能条−2%</t>
        </is>
      </c>
      <c r="E11" s="7" t="inlineStr">
        <is>
          <t>植物伤害+3% / 核心HP+4%</t>
        </is>
      </c>
      <c r="F11" s="7" t="inlineStr">
        <is>
          <t>全元素威力+4%</t>
        </is>
      </c>
      <c r="G11" s="7" t="inlineStr">
        <is>
          <t>金币+4% / 碎片+6% / 花园产出+5%</t>
        </is>
      </c>
    </row>
    <row r="12">
      <c r="A12" s="7" t="n">
        <v>8</v>
      </c>
      <c r="B12" s="10">
        <f>ROUND('01_核心常量'!$D$45*'01_核心常量'!$D$46^(A12-1),0)</f>
        <v/>
      </c>
      <c r="C12" s="10">
        <f>C11+B12</f>
        <v/>
      </c>
      <c r="D12" s="7" t="inlineStr">
        <is>
          <t>步数+0.2 / 回复+3% / 充能条−2%</t>
        </is>
      </c>
      <c r="E12" s="7" t="inlineStr">
        <is>
          <t>植物伤害+3% / 核心HP+4%</t>
        </is>
      </c>
      <c r="F12" s="7" t="inlineStr">
        <is>
          <t>全元素威力+4%</t>
        </is>
      </c>
      <c r="G12" s="7" t="inlineStr">
        <is>
          <t>金币+4% / 碎片+6% / 花园产出+5%</t>
        </is>
      </c>
    </row>
    <row r="13">
      <c r="A13" s="7" t="n">
        <v>9</v>
      </c>
      <c r="B13" s="10">
        <f>ROUND('01_核心常量'!$D$45*'01_核心常量'!$D$46^(A13-1),0)</f>
        <v/>
      </c>
      <c r="C13" s="10">
        <f>C12+B13</f>
        <v/>
      </c>
      <c r="D13" s="7" t="inlineStr">
        <is>
          <t>步数+0.2 / 回复+3% / 充能条−2%</t>
        </is>
      </c>
      <c r="E13" s="7" t="inlineStr">
        <is>
          <t>植物伤害+3% / 核心HP+4%</t>
        </is>
      </c>
      <c r="F13" s="7" t="inlineStr">
        <is>
          <t>全元素威力+4%</t>
        </is>
      </c>
      <c r="G13" s="7" t="inlineStr">
        <is>
          <t>金币+4% / 碎片+6% / 花园产出+5%</t>
        </is>
      </c>
    </row>
    <row r="14">
      <c r="A14" s="7" t="n">
        <v>10</v>
      </c>
      <c r="B14" s="10">
        <f>ROUND('01_核心常量'!$D$45*'01_核心常量'!$D$46^(A14-1),0)</f>
        <v/>
      </c>
      <c r="C14" s="10">
        <f>C13+B14</f>
        <v/>
      </c>
      <c r="D14" s="7" t="inlineStr">
        <is>
          <t>步数+0.2 / 回复+3% / 充能条−2%</t>
        </is>
      </c>
      <c r="E14" s="7" t="inlineStr">
        <is>
          <t>植物伤害+3% / 核心HP+4%</t>
        </is>
      </c>
      <c r="F14" s="7" t="inlineStr">
        <is>
          <t>全元素威力+4%</t>
        </is>
      </c>
      <c r="G14" s="7" t="inlineStr">
        <is>
          <t>金币+4% / 碎片+6% / 花园产出+5%</t>
        </is>
      </c>
    </row>
    <row r="15">
      <c r="A15" s="26" t="inlineStr">
        <is>
          <t>满级合计</t>
        </is>
      </c>
      <c r="C15" s="27">
        <f>SUM(B5:B14)*4</f>
        <v/>
      </c>
      <c r="D15" s="26" t="inlineStr">
        <is>
          <t>4 分支 × 单分支累计</t>
        </is>
      </c>
    </row>
    <row r="17">
      <c r="A17" s="5" t="inlineStr">
        <is>
          <t>【当前配置】基础 40 / 增长 1.30 → 单分支满级约 1,705 星尘，全树约 6,820 星尘。早期花园产出 200–500/天，后期 2,000+/天 → 约 3–5 周长线目标。</t>
        </is>
      </c>
    </row>
    <row r="18">
      <c r="A18" s="5" t="inlineStr">
        <is>
          <t>【调参方向】H5 休闲产品建议长线不超过 4 周。若超长，把增长系数降到 1.25（全树约 5,300）；若希望更长线支撑赛季，升到 1.35。</t>
        </is>
      </c>
    </row>
    <row r="20">
      <c r="A20" s="2" t="inlineStr">
        <is>
          <t>花园产出模型</t>
        </is>
      </c>
    </row>
    <row r="21" ht="30" customHeight="1">
      <c r="A21" s="6" t="inlineStr">
        <is>
          <t>稀有度</t>
        </is>
      </c>
      <c r="B21" s="6" t="inlineStr">
        <is>
          <t>星尘/小时(基)</t>
        </is>
      </c>
      <c r="C21" s="6" t="inlineStr">
        <is>
          <t>30min</t>
        </is>
      </c>
      <c r="D21" s="6" t="inlineStr">
        <is>
          <t>2h</t>
        </is>
      </c>
      <c r="E21" s="6" t="inlineStr">
        <is>
          <t>6h</t>
        </is>
      </c>
      <c r="F21" s="6" t="inlineStr">
        <is>
          <t>6 盆全传说/6h</t>
        </is>
      </c>
    </row>
    <row r="22">
      <c r="A22" s="7" t="inlineStr">
        <is>
          <t>普通</t>
        </is>
      </c>
      <c r="B22" s="13" t="n">
        <v>8</v>
      </c>
      <c r="C22" s="28">
        <f>B22*0.5</f>
        <v/>
      </c>
      <c r="D22" s="28">
        <f>B22*2</f>
        <v/>
      </c>
      <c r="E22" s="28">
        <f>B22*6</f>
        <v/>
      </c>
      <c r="F22" s="14">
        <f>B22*6*6</f>
        <v/>
      </c>
    </row>
    <row r="23">
      <c r="A23" s="7" t="inlineStr">
        <is>
          <t>稀有</t>
        </is>
      </c>
      <c r="B23" s="13" t="n">
        <v>15</v>
      </c>
      <c r="C23" s="28">
        <f>B23*0.5</f>
        <v/>
      </c>
      <c r="D23" s="28">
        <f>B23*2</f>
        <v/>
      </c>
      <c r="E23" s="28">
        <f>B23*6</f>
        <v/>
      </c>
      <c r="F23" s="14">
        <f>B23*6*6</f>
        <v/>
      </c>
    </row>
    <row r="24">
      <c r="A24" s="7" t="inlineStr">
        <is>
          <t>史诗</t>
        </is>
      </c>
      <c r="B24" s="13" t="n">
        <v>28</v>
      </c>
      <c r="C24" s="28">
        <f>B24*0.5</f>
        <v/>
      </c>
      <c r="D24" s="28">
        <f>B24*2</f>
        <v/>
      </c>
      <c r="E24" s="28">
        <f>B24*6</f>
        <v/>
      </c>
      <c r="F24" s="14">
        <f>B24*6*6</f>
        <v/>
      </c>
    </row>
    <row r="25">
      <c r="A25" s="7" t="inlineStr">
        <is>
          <t>传说</t>
        </is>
      </c>
      <c r="B25" s="13" t="n">
        <v>50</v>
      </c>
      <c r="C25" s="28">
        <f>B25*0.5</f>
        <v/>
      </c>
      <c r="D25" s="28">
        <f>B25*2</f>
        <v/>
      </c>
      <c r="E25" s="28">
        <f>B25*6</f>
        <v/>
      </c>
      <c r="F25" s="14">
        <f>B25*6*6</f>
        <v/>
      </c>
    </row>
    <row r="27">
      <c r="A27" s="5" t="inlineStr">
        <is>
          <t>产出速率 = 稀有度基础 × (1 + 星级×0.1) × (1 + 养成树果实分支等级×0.05)</t>
        </is>
      </c>
    </row>
    <row r="28">
      <c r="A28" s="5" t="inlineStr">
        <is>
          <t>离线计时上限 12 小时（防纯挂机，同时保证次日回归有收益 → 这是次留的核心钩子）。</t>
        </is>
      </c>
    </row>
    <row r="29">
      <c r="A29" s="5" t="inlineStr">
        <is>
          <t>花盆：初始 2，最多 6。金币解锁成本 5,000 / 20,000 / 60,000 / 150,000。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34" customWidth="1" min="3" max="3"/>
    <col width="34" customWidth="1" min="4" max="4"/>
    <col width="40" customWidth="1" min="5" max="5"/>
  </cols>
  <sheetData>
    <row r="1">
      <c r="A1" s="1" t="inlineStr">
        <is>
          <t>平衡目标与 Broken 判定标准 —— playtest 前必读</t>
        </is>
      </c>
    </row>
    <row r="2">
      <c r="A2" s="5" t="inlineStr">
        <is>
          <t>原则：先定义「什么算坏」，才能在 playtest 中认出它。所有阈值在此表预先约定，不做事后解释。</t>
        </is>
      </c>
    </row>
    <row r="4">
      <c r="A4" s="2" t="inlineStr">
        <is>
          <t>健康指标（埋点目标）</t>
        </is>
      </c>
    </row>
    <row r="5" ht="30" customHeight="1">
      <c r="A5" s="6" t="inlineStr">
        <is>
          <t>类别</t>
        </is>
      </c>
      <c r="B5" s="6" t="inlineStr">
        <is>
          <t>指标</t>
        </is>
      </c>
      <c r="C5" s="6" t="inlineStr">
        <is>
          <t>目标区间</t>
        </is>
      </c>
      <c r="D5" s="6" t="inlineStr">
        <is>
          <t>低于下限的处置</t>
        </is>
      </c>
      <c r="E5" s="6" t="inlineStr">
        <is>
          <t>高于上限的处置</t>
        </is>
      </c>
    </row>
    <row r="6">
      <c r="A6" s="7" t="inlineStr">
        <is>
          <t>节奏</t>
        </is>
      </c>
      <c r="B6" s="7" t="inlineStr">
        <is>
          <t>每波步数消耗</t>
        </is>
      </c>
      <c r="C6" s="9" t="inlineStr">
        <is>
          <t>25 – 30 步</t>
        </is>
      </c>
      <c r="D6" s="9" t="inlineStr">
        <is>
          <t>步数回复过快或玩家不积极 → 降低回复速率</t>
        </is>
      </c>
      <c r="E6" s="9" t="inlineStr">
        <is>
          <t>步数不够用 → 提高回复速率或降低消耗</t>
        </is>
      </c>
    </row>
    <row r="7">
      <c r="A7" s="7" t="inlineStr">
        <is>
          <t>节奏</t>
        </is>
      </c>
      <c r="B7" s="7" t="inlineStr">
        <is>
          <t>每波合成次数</t>
        </is>
      </c>
      <c r="C7" s="9" t="inlineStr">
        <is>
          <t>30 – 40 次</t>
        </is>
      </c>
      <c r="D7" s="9" t="inlineStr">
        <is>
          <t>棋盘太挤或生成值过低 → 提升生成分层</t>
        </is>
      </c>
      <c r="E7" s="9" t="inlineStr">
        <is>
          <t>棋盘过于宽松 → 提升难度</t>
        </is>
      </c>
    </row>
    <row r="8">
      <c r="A8" s="7" t="inlineStr">
        <is>
          <t>节奏</t>
        </is>
      </c>
      <c r="B8" s="7" t="inlineStr">
        <is>
          <t>每波小附魔触发</t>
        </is>
      </c>
      <c r="C8" s="9" t="inlineStr">
        <is>
          <t>3 – 4 次</t>
        </is>
      </c>
      <c r="D8" s="9" t="inlineStr">
        <is>
          <t>充能条过高 → 降低 CHARGE_MAX</t>
        </is>
      </c>
      <c r="E8" s="9" t="inlineStr">
        <is>
          <t>充能刷屏 → 升高 CHARGE_MAX（&gt;6 必须处理）</t>
        </is>
      </c>
    </row>
    <row r="9">
      <c r="A9" s="7" t="inlineStr">
        <is>
          <t>节奏</t>
        </is>
      </c>
      <c r="B9" s="7" t="inlineStr">
        <is>
          <t>每波战术指令使用</t>
        </is>
      </c>
      <c r="C9" s="9" t="inlineStr">
        <is>
          <t>0.8 – 1.5 次</t>
        </is>
      </c>
      <c r="D9" s="9" t="inlineStr">
        <is>
          <t>星核产出不足 → 提高 K_STAR</t>
        </is>
      </c>
      <c r="E9" s="9" t="inlineStr">
        <is>
          <t>指令续命 → 降低 K_STAR（&gt;2 必须处理）</t>
        </is>
      </c>
    </row>
    <row r="10">
      <c r="A10" s="7" t="inlineStr">
        <is>
          <t>难度</t>
        </is>
      </c>
      <c r="B10" s="7" t="inlineStr">
        <is>
          <t>平均到达关卡</t>
        </is>
      </c>
      <c r="C10" s="9" t="inlineStr">
        <is>
          <t>4 – 6 关</t>
        </is>
      </c>
      <c r="D10" s="9" t="inlineStr">
        <is>
          <t>难度过高 → 降低 HP_BASE 至 1.50</t>
        </is>
      </c>
      <c r="E10" s="9" t="inlineStr">
        <is>
          <t>难度过低 → 升高 HP_BASE 至 1.60</t>
        </is>
      </c>
    </row>
    <row r="11">
      <c r="A11" s="7" t="inlineStr">
        <is>
          <t>难度</t>
        </is>
      </c>
      <c r="B11" s="7" t="inlineStr">
        <is>
          <t>第 1 关失败率</t>
        </is>
      </c>
      <c r="C11" s="9" t="inlineStr">
        <is>
          <t>&lt; 5%</t>
        </is>
      </c>
      <c r="D11" s="9" t="inlineStr">
        <is>
          <t>—（达标即可）</t>
        </is>
      </c>
      <c r="E11" s="9" t="inlineStr">
        <is>
          <t>教学波设计失败，需重做波次组成</t>
        </is>
      </c>
    </row>
    <row r="12">
      <c r="A12" s="7" t="inlineStr">
        <is>
          <t>难度</t>
        </is>
      </c>
      <c r="B12" s="7" t="inlineStr">
        <is>
          <t>无养成新手到达</t>
        </is>
      </c>
      <c r="C12" s="9" t="inlineStr">
        <is>
          <t>3 关</t>
        </is>
      </c>
      <c r="D12" s="9" t="inlineStr">
        <is>
          <t>新手挫败 → 前 2 关难度下调</t>
        </is>
      </c>
      <c r="E12" s="9" t="inlineStr">
        <is>
          <t>元游戏无意义 → 前期难度上调</t>
        </is>
      </c>
    </row>
    <row r="13">
      <c r="A13" s="7" t="inlineStr">
        <is>
          <t>难度</t>
        </is>
      </c>
      <c r="B13" s="7" t="inlineStr">
        <is>
          <t>满养成高手到达</t>
        </is>
      </c>
      <c r="C13" s="9" t="inlineStr">
        <is>
          <t>9 – 11 关</t>
        </is>
      </c>
      <c r="D13" s="9" t="inlineStr">
        <is>
          <t>长线目标不足 → 提高养成上限</t>
        </is>
      </c>
      <c r="E13" s="9" t="inlineStr">
        <is>
          <t>养成碾压 → 压缩植物星级/等级成长</t>
        </is>
      </c>
    </row>
    <row r="14">
      <c r="A14" s="7" t="inlineStr">
        <is>
          <t>难度</t>
        </is>
      </c>
      <c r="B14" s="7" t="inlineStr">
        <is>
          <t>收工关卡众数</t>
        </is>
      </c>
      <c r="C14" s="9" t="inlineStr">
        <is>
          <t>第 4 – 6 关</t>
        </is>
      </c>
      <c r="D14" s="9" t="inlineStr">
        <is>
          <t>玩家不敢冒险 → 提高保底 b</t>
        </is>
      </c>
      <c r="E14" s="9" t="inlineStr">
        <is>
          <t>玩家不敢收工 → 降低保底 b</t>
        </is>
      </c>
    </row>
    <row r="15">
      <c r="A15" s="7" t="inlineStr">
        <is>
          <t>留存</t>
        </is>
      </c>
      <c r="B15" s="7" t="inlineStr">
        <is>
          <t>单局时长</t>
        </is>
      </c>
      <c r="C15" s="9" t="inlineStr">
        <is>
          <t>12 – 20 分钟</t>
        </is>
      </c>
      <c r="D15" s="9" t="inlineStr">
        <is>
          <t>内容不足 → 增加波数或波次时长</t>
        </is>
      </c>
      <c r="E15" s="9" t="inlineStr">
        <is>
          <t>疲劳 → 缩短波次时长至 30s</t>
        </is>
      </c>
    </row>
    <row r="16">
      <c r="A16" s="7" t="inlineStr">
        <is>
          <t>健康</t>
        </is>
      </c>
      <c r="B16" s="7" t="inlineStr">
        <is>
          <t>棋盘卡死触发率</t>
        </is>
      </c>
      <c r="C16" s="9" t="inlineStr">
        <is>
          <t>&lt; 3%</t>
        </is>
      </c>
      <c r="D16" s="9" t="inlineStr">
        <is>
          <t>—（达标即可）</t>
        </is>
      </c>
      <c r="E16" s="9" t="inlineStr">
        <is>
          <t>棋盘太小或生成算法有问题，需修伪随机</t>
        </is>
      </c>
    </row>
    <row r="18">
      <c r="A18" s="2" t="inlineStr">
        <is>
          <t>Broken 判定（出现任一症状即为设计失败，需回头改系统而非改数值）</t>
        </is>
      </c>
    </row>
    <row r="19" ht="30" customHeight="1">
      <c r="A19" s="6" t="inlineStr">
        <is>
          <t>症状</t>
        </is>
      </c>
      <c r="B19" s="6" t="inlineStr">
        <is>
          <t>判定阈值</t>
        </is>
      </c>
      <c r="C19" s="6" t="inlineStr">
        <is>
          <t>根因假设</t>
        </is>
      </c>
      <c r="D19" s="6" t="inlineStr">
        <is>
          <t>处置</t>
        </is>
      </c>
    </row>
    <row r="20">
      <c r="A20" s="7" t="inlineStr">
        <is>
          <t>战斗毫无压力</t>
        </is>
      </c>
      <c r="B20" s="7" t="inlineStr">
        <is>
          <t>核心 HP 全损率 &lt; 10%</t>
        </is>
      </c>
      <c r="C20" s="9" t="inlineStr">
        <is>
          <t>敌人推进速度或数量不足</t>
        </is>
      </c>
      <c r="D20" s="9" t="inlineStr">
        <is>
          <t>提高速度缩放 SPD_SCL，或降低植物基础 DPS</t>
        </is>
      </c>
    </row>
    <row r="21">
      <c r="A21" s="7" t="inlineStr">
        <is>
          <t>棋盘被忽略</t>
        </is>
      </c>
      <c r="B21" s="7" t="inlineStr">
        <is>
          <t>步数常年满仓（余量 &gt; 60%）</t>
        </is>
      </c>
      <c r="C21" s="9" t="inlineStr">
        <is>
          <t>合成收益不足以驱动玩家操作</t>
        </is>
      </c>
      <c r="D21" s="9" t="inlineStr">
        <is>
          <t>提高 CV 转化系数，或降低步数回复速率</t>
        </is>
      </c>
    </row>
    <row r="22">
      <c r="A22" s="7" t="inlineStr">
        <is>
          <t>附魔刷屏</t>
        </is>
      </c>
      <c r="B22" s="7" t="inlineStr">
        <is>
          <t>每波小附魔 &gt; 6 次</t>
        </is>
      </c>
      <c r="C22" s="9" t="inlineStr">
        <is>
          <t>充能条过低</t>
        </is>
      </c>
      <c r="D22" s="9" t="inlineStr">
        <is>
          <t>升高 CHARGE_MAX 至 130–150</t>
        </is>
      </c>
    </row>
    <row r="23">
      <c r="A23" s="7" t="inlineStr">
        <is>
          <t>卡牌无选择</t>
        </is>
      </c>
      <c r="B23" s="7" t="inlineStr">
        <is>
          <t>某张卡选取率 &gt; 70%</t>
        </is>
      </c>
      <c r="C23" s="9" t="inlineStr">
        <is>
          <t>该卡超模或同类卡过少</t>
        </is>
      </c>
      <c r="D23" s="9" t="inlineStr">
        <is>
          <t>削弱该卡，或补充 2–3 张同类竞品卡</t>
        </is>
      </c>
    </row>
    <row r="24">
      <c r="A24" s="7" t="inlineStr">
        <is>
          <t>经济通胀</t>
        </is>
      </c>
      <c r="B24" s="7" t="inlineStr">
        <is>
          <t>金币日增量 / 日消耗 &gt; 3</t>
        </is>
      </c>
      <c r="C24" s="9" t="inlineStr">
        <is>
          <t>金币汇不足</t>
        </is>
      </c>
      <c r="D24" s="9" t="inlineStr">
        <is>
          <t>增设金币汇（新商店项），或降低 K_GOLD</t>
        </is>
      </c>
    </row>
    <row r="25">
      <c r="A25" s="7" t="inlineStr">
        <is>
          <t>元素单一最优解</t>
        </is>
      </c>
      <c r="B25" s="7" t="inlineStr">
        <is>
          <t>某元素使用率 &gt; 50%</t>
        </is>
      </c>
      <c r="C25" s="9" t="inlineStr">
        <is>
          <t>该元素超模，或克制设计未生效</t>
        </is>
      </c>
      <c r="D25" s="9" t="inlineStr">
        <is>
          <t>调整该元素数值，或增加对应护盾的精英出现率</t>
        </is>
      </c>
    </row>
    <row r="26">
      <c r="A26" s="7" t="inlineStr">
        <is>
          <t>后期棋盘饱和</t>
        </is>
      </c>
      <c r="B26" s="7" t="inlineStr">
        <is>
          <t>第 8 关后棋盘空格 &lt; 3</t>
        </is>
      </c>
      <c r="C26" s="9" t="inlineStr">
        <is>
          <t>升华阈值过高</t>
        </is>
      </c>
      <c r="D26" s="9" t="inlineStr">
        <is>
          <t>降低 SUB_TH 至 256，或提高「贪婪核心」出现率</t>
        </is>
      </c>
    </row>
    <row r="27">
      <c r="A27" s="7" t="inlineStr">
        <is>
          <t>养成碾压局内</t>
        </is>
      </c>
      <c r="B27" s="7" t="inlineStr">
        <is>
          <t>满养成 vs 零养成可达关卡比 &gt; 1.8</t>
        </is>
      </c>
      <c r="C27" s="9" t="inlineStr">
        <is>
          <t>植物星级/等级/编队位成长过大</t>
        </is>
      </c>
      <c r="D27" s="9" t="inlineStr">
        <is>
          <t>压缩 STAR_MULT / LV_MULT / SLOT_EFF</t>
        </is>
      </c>
    </row>
    <row r="28">
      <c r="A28" s="7" t="inlineStr">
        <is>
          <t>局内卡牌无意义</t>
        </is>
      </c>
      <c r="B28" s="7" t="inlineStr">
        <is>
          <t>满卡牌 vs 零卡牌可达关卡比 &lt; 1.3</t>
        </is>
      </c>
      <c r="C28" s="9" t="inlineStr">
        <is>
          <t>卡牌效果或数量不足</t>
        </is>
      </c>
      <c r="D28" s="9" t="inlineStr">
        <is>
          <t>提高 CARD_PWR 或扩充卡池至 60 张</t>
        </is>
      </c>
    </row>
    <row r="30">
      <c r="A30" s="2" t="inlineStr">
        <is>
          <t>平衡流程（不可跳过）</t>
        </is>
      </c>
    </row>
    <row r="31" ht="30" customHeight="1">
      <c r="A31" s="6" t="inlineStr">
        <is>
          <t>阶段</t>
        </is>
      </c>
      <c r="B31" s="6" t="inlineStr">
        <is>
          <t>活动</t>
        </is>
      </c>
      <c r="C31" s="6" t="inlineStr">
        <is>
          <t>产出</t>
        </is>
      </c>
      <c r="D31" s="6" t="inlineStr">
        <is>
          <t>准入条件</t>
        </is>
      </c>
    </row>
    <row r="32">
      <c r="A32" s="7" t="inlineStr">
        <is>
          <t>1. 纸面模拟</t>
        </is>
      </c>
      <c r="B32" s="9" t="inlineStr">
        <is>
          <t>Monte Carlo 跑 10,000 局 2048，统计 150 步内的最高方块分布、合成次数分布</t>
        </is>
      </c>
      <c r="C32" s="9" t="inlineStr">
        <is>
          <t>校准 MERGE_RATE 与平均合成值</t>
        </is>
      </c>
      <c r="D32" s="9" t="inlineStr">
        <is>
          <t>写代码之前完成</t>
        </is>
      </c>
    </row>
    <row r="33">
      <c r="A33" s="7" t="inlineStr">
        <is>
          <t>2. 数值原型</t>
        </is>
      </c>
      <c r="B33" s="9" t="inlineStr">
        <is>
          <t>只做棋盘 + 充能 + 附魔伤害的裸 Demo（无战斗）</t>
        </is>
      </c>
      <c r="C33" s="9" t="inlineStr">
        <is>
          <t>验证乐趣假设：精准四连合成触发超载清屏的瞬间是否成立</t>
        </is>
      </c>
      <c r="D33" s="9" t="inlineStr">
        <is>
          <t>纸面模拟完成</t>
        </is>
      </c>
    </row>
    <row r="34">
      <c r="A34" s="7" t="inlineStr">
        <is>
          <t>3. 可玩原型</t>
        </is>
      </c>
      <c r="B34" s="9" t="inlineStr">
        <is>
          <t>加入战斗与波次</t>
        </is>
      </c>
      <c r="C34" s="9" t="inlineStr">
        <is>
          <t>验证压力曲线与注意力分配</t>
        </is>
      </c>
      <c r="D34" s="9" t="inlineStr">
        <is>
          <t>乐趣假设成立</t>
        </is>
      </c>
    </row>
    <row r="35">
      <c r="A35" s="7" t="inlineStr">
        <is>
          <t>4. 小规模测试</t>
        </is>
      </c>
      <c r="B35" s="9" t="inlineStr">
        <is>
          <t>20–50 人试玩，只观察 Feel 问题，不调数值</t>
        </is>
      </c>
      <c r="C35" s="9" t="inlineStr">
        <is>
          <t>Feel 问题清单</t>
        </is>
      </c>
      <c r="D35" s="9" t="inlineStr">
        <is>
          <t>核心循环可玩</t>
        </is>
      </c>
    </row>
    <row r="36">
      <c r="A36" s="7" t="inlineStr">
        <is>
          <t>5. 数值调优</t>
        </is>
      </c>
      <c r="B36" s="9" t="inlineStr">
        <is>
          <t>基于埋点做回归分析</t>
        </is>
      </c>
      <c r="C36" s="9" t="inlineStr">
        <is>
          <t>v0.2 数值</t>
        </is>
      </c>
      <c r="D36" s="9" t="inlineStr">
        <is>
          <t>埋点体系上线</t>
        </is>
      </c>
    </row>
    <row r="37">
      <c r="A37" s="7" t="inlineStr">
        <is>
          <t>6. 软启动 A/B</t>
        </is>
      </c>
      <c r="B37" s="9" t="inlineStr">
        <is>
          <t>测三个主旋钮：STEP_REGEN / B_FAIL / HP_BASE</t>
        </is>
      </c>
      <c r="C37" s="9" t="inlineStr">
        <is>
          <t>上线数值配置</t>
        </is>
      </c>
      <c r="D37" s="9" t="inlineStr">
        <is>
          <t>数值基本稳定</t>
        </is>
      </c>
    </row>
    <row r="40">
      <c r="A40" s="2" t="inlineStr">
        <is>
          <t>给开发团队的一句话</t>
        </is>
      </c>
    </row>
    <row r="41" ht="40" customHeight="1">
      <c r="A41" s="29" t="inlineStr">
        <is>
          <t>V1 垂直切片是生死线。如果 V1（1 主植物 / 3 波 / 2 元素 / 10 张卡）玩起来不爽，加再多内容和养成也救不回来 —— 请在 V1 投入充分的试玩时间，而不是赶着堆内容。</t>
        </is>
      </c>
    </row>
  </sheetData>
  <mergeCells count="1">
    <mergeCell ref="A41:D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2026-08-31T07:41:42Z</dcterms:created>
  <dcterms:modified xsi:type="dcterms:W3CDTF">2026-08-31T07:41:42Z</dcterms:modified>
</cp:coreProperties>
</file>